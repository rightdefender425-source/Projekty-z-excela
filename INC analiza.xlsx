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Dell\Desktop\Analiza Danych Kajo Data\Excel\"/>
    </mc:Choice>
  </mc:AlternateContent>
  <xr:revisionPtr revIDLastSave="0" documentId="13_ncr:1_{4011125A-5491-4978-A8D7-6D2993B0CB9E}" xr6:coauthVersionLast="47" xr6:coauthVersionMax="47" xr10:uidLastSave="{00000000-0000-0000-0000-000000000000}"/>
  <bookViews>
    <workbookView xWindow="-120" yWindow="-120" windowWidth="20730" windowHeight="11160" firstSheet="2" activeTab="10" xr2:uid="{CE6E10C4-9502-41B8-8879-DD2306E4BE3D}"/>
  </bookViews>
  <sheets>
    <sheet name="INC 5000 Companies 2019" sheetId="2" r:id="rId1"/>
    <sheet name="pivot_table" sheetId="3" r:id="rId2"/>
    <sheet name="Zawyżanie_przychodu" sheetId="4" r:id="rId3"/>
    <sheet name="zad3" sheetId="6" r:id="rId4"/>
    <sheet name="zad5" sheetId="7" r:id="rId5"/>
    <sheet name="zad6" sheetId="8" r:id="rId6"/>
    <sheet name="zad7" sheetId="9" r:id="rId7"/>
    <sheet name="zad8" sheetId="10" r:id="rId8"/>
    <sheet name="zad9" sheetId="11" r:id="rId9"/>
    <sheet name="zad10" sheetId="12" r:id="rId10"/>
    <sheet name="zad11" sheetId="13" r:id="rId11"/>
    <sheet name="zad13 kpi" sheetId="14" r:id="rId12"/>
  </sheets>
  <definedNames>
    <definedName name="ExternalData_1" localSheetId="0" hidden="1">'INC 5000 Companies 2019'!$A$1:$L$604</definedName>
    <definedName name="Slicer_Full_State_Name">#N/A</definedName>
    <definedName name="Slicer_Industry">#N/A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c r="E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5D3231-567E-4002-8332-301BB7021FD8}" keepAlive="1" name="Query - INC 5000 Companies 2019" description="Connection to the 'INC 5000 Companies 2019' query in the workbook." type="5" refreshedVersion="8" background="1" saveData="1">
    <dbPr connection="Provider=Microsoft.Mashup.OleDb.1;Data Source=$Workbook$;Location=&quot;INC 5000 Companies 2019&quot;;Extended Properties=&quot;&quot;" command="SELECT * FROM [INC 5000 Companies 2019]"/>
  </connection>
</connections>
</file>

<file path=xl/sharedStrings.xml><?xml version="1.0" encoding="utf-8"?>
<sst xmlns="http://schemas.openxmlformats.org/spreadsheetml/2006/main" count="3892" uniqueCount="1086">
  <si>
    <t>rank</t>
  </si>
  <si>
    <t>Freestar</t>
  </si>
  <si>
    <t>AZ</t>
  </si>
  <si>
    <t>Advertising &amp; Marketing</t>
  </si>
  <si>
    <t>Phoenix</t>
  </si>
  <si>
    <t>FreightWise</t>
  </si>
  <si>
    <t>TN</t>
  </si>
  <si>
    <t>Logistics &amp; Transportation</t>
  </si>
  <si>
    <t>Nashville</t>
  </si>
  <si>
    <t>Brentwood</t>
  </si>
  <si>
    <t>Cece's Veggie Co.</t>
  </si>
  <si>
    <t>TX</t>
  </si>
  <si>
    <t>Food &amp; Beverage</t>
  </si>
  <si>
    <t>Austin</t>
  </si>
  <si>
    <t>LadyBoss</t>
  </si>
  <si>
    <t>NM</t>
  </si>
  <si>
    <t>Consumer Products &amp; Services</t>
  </si>
  <si>
    <t>Albuquerque</t>
  </si>
  <si>
    <t>Perpay</t>
  </si>
  <si>
    <t>PA</t>
  </si>
  <si>
    <t>Retail</t>
  </si>
  <si>
    <t>Philadelphia</t>
  </si>
  <si>
    <t>Cano Health</t>
  </si>
  <si>
    <t>FL</t>
  </si>
  <si>
    <t>Health</t>
  </si>
  <si>
    <t>Miami</t>
  </si>
  <si>
    <t>Bear Mattress</t>
  </si>
  <si>
    <t>NJ</t>
  </si>
  <si>
    <t>New York City</t>
  </si>
  <si>
    <t>Hoboken</t>
  </si>
  <si>
    <t>Connected Solutions Group</t>
  </si>
  <si>
    <t>VA</t>
  </si>
  <si>
    <t>Telecommunications</t>
  </si>
  <si>
    <t>Mechanicsville</t>
  </si>
  <si>
    <t>Providence Healthcare Management</t>
  </si>
  <si>
    <t>OH</t>
  </si>
  <si>
    <t>Cleveland</t>
  </si>
  <si>
    <t>NOM</t>
  </si>
  <si>
    <t>CA</t>
  </si>
  <si>
    <t>Los Angeles</t>
  </si>
  <si>
    <t>NuLeaf Naturals</t>
  </si>
  <si>
    <t>CO</t>
  </si>
  <si>
    <t>Denver</t>
  </si>
  <si>
    <t>Urgently</t>
  </si>
  <si>
    <t>VIenna</t>
  </si>
  <si>
    <t>nutpods</t>
  </si>
  <si>
    <t>WA</t>
  </si>
  <si>
    <t>Seattle</t>
  </si>
  <si>
    <t>Bellevue</t>
  </si>
  <si>
    <t>YieldStreet</t>
  </si>
  <si>
    <t>NY</t>
  </si>
  <si>
    <t>Financial Services</t>
  </si>
  <si>
    <t>New York</t>
  </si>
  <si>
    <t>MuteSix</t>
  </si>
  <si>
    <t>Anchor Worldwide</t>
  </si>
  <si>
    <t>LendingPoint</t>
  </si>
  <si>
    <t>GA</t>
  </si>
  <si>
    <t>Atlanta</t>
  </si>
  <si>
    <t>Kennesaw</t>
  </si>
  <si>
    <t>With Clarity</t>
  </si>
  <si>
    <t>Sonendo</t>
  </si>
  <si>
    <t>Laguna Hills</t>
  </si>
  <si>
    <t>Kindred Bravely</t>
  </si>
  <si>
    <t>San Diego</t>
  </si>
  <si>
    <t>Oceanside</t>
  </si>
  <si>
    <t>Tailor Made Compounding</t>
  </si>
  <si>
    <t>KY</t>
  </si>
  <si>
    <t>Nicholasville</t>
  </si>
  <si>
    <t>SD3IT</t>
  </si>
  <si>
    <t>Computer Hardware</t>
  </si>
  <si>
    <t>The Villages</t>
  </si>
  <si>
    <t>ConvertKit</t>
  </si>
  <si>
    <t>ID</t>
  </si>
  <si>
    <t>Software</t>
  </si>
  <si>
    <t>Boise</t>
  </si>
  <si>
    <t>Printify</t>
  </si>
  <si>
    <t>San Francisco</t>
  </si>
  <si>
    <t>Awardco</t>
  </si>
  <si>
    <t>UT</t>
  </si>
  <si>
    <t>Orem</t>
  </si>
  <si>
    <t>Pegasus Optimization Managers</t>
  </si>
  <si>
    <t>Energy</t>
  </si>
  <si>
    <t>College Station</t>
  </si>
  <si>
    <t>FITT Scientific</t>
  </si>
  <si>
    <t>Government Services</t>
  </si>
  <si>
    <t>Colonial Heights</t>
  </si>
  <si>
    <t>Amherst Madison</t>
  </si>
  <si>
    <t>Real Estate</t>
  </si>
  <si>
    <t>LumenAd</t>
  </si>
  <si>
    <t>MT</t>
  </si>
  <si>
    <t>Missoula</t>
  </si>
  <si>
    <t>Bendcare</t>
  </si>
  <si>
    <t>Boca Raton</t>
  </si>
  <si>
    <t>The Welfont Companies</t>
  </si>
  <si>
    <t>Tampa</t>
  </si>
  <si>
    <t>Skinny Dipped</t>
  </si>
  <si>
    <t>RDI Technologies</t>
  </si>
  <si>
    <t>Manufacturing</t>
  </si>
  <si>
    <t>Knoxville</t>
  </si>
  <si>
    <t>Limited Run Games</t>
  </si>
  <si>
    <t>NC</t>
  </si>
  <si>
    <t>Media</t>
  </si>
  <si>
    <t>Apex</t>
  </si>
  <si>
    <t>SwanLeap</t>
  </si>
  <si>
    <t>WI</t>
  </si>
  <si>
    <t>Madison</t>
  </si>
  <si>
    <t>Vesta Modular</t>
  </si>
  <si>
    <t>MI</t>
  </si>
  <si>
    <t>Construction</t>
  </si>
  <si>
    <t>Southfield</t>
  </si>
  <si>
    <t>H&amp;C Animal Health</t>
  </si>
  <si>
    <t>Parker</t>
  </si>
  <si>
    <t>Homesnap</t>
  </si>
  <si>
    <t>MD</t>
  </si>
  <si>
    <t>Bethesda</t>
  </si>
  <si>
    <t>Paradigm Construction</t>
  </si>
  <si>
    <t>Houston</t>
  </si>
  <si>
    <t>The Woodlands</t>
  </si>
  <si>
    <t>Allata</t>
  </si>
  <si>
    <t>IT System Development</t>
  </si>
  <si>
    <t>Dallas</t>
  </si>
  <si>
    <t>Fanchest</t>
  </si>
  <si>
    <t>Fund That Flip</t>
  </si>
  <si>
    <t>Villaway</t>
  </si>
  <si>
    <t>Travel &amp; Hospitality</t>
  </si>
  <si>
    <t>IQM</t>
  </si>
  <si>
    <t>Home Quality Remodeling</t>
  </si>
  <si>
    <t>Concord</t>
  </si>
  <si>
    <t>Beeswax</t>
  </si>
  <si>
    <t>Netizen</t>
  </si>
  <si>
    <t>Security</t>
  </si>
  <si>
    <t>Allentown</t>
  </si>
  <si>
    <t>phData</t>
  </si>
  <si>
    <t>MN</t>
  </si>
  <si>
    <t>IT Management</t>
  </si>
  <si>
    <t>Minneapolis</t>
  </si>
  <si>
    <t>MDstaffers</t>
  </si>
  <si>
    <t>Rancho Cordova</t>
  </si>
  <si>
    <t>TalEx</t>
  </si>
  <si>
    <t>Human Resources</t>
  </si>
  <si>
    <t>Clarksburg</t>
  </si>
  <si>
    <t>Nationwide Mortgage Bankers</t>
  </si>
  <si>
    <t>Melville</t>
  </si>
  <si>
    <t>Podium</t>
  </si>
  <si>
    <t>Lehi</t>
  </si>
  <si>
    <t>SIA Solutions</t>
  </si>
  <si>
    <t>Environmental Services</t>
  </si>
  <si>
    <t>QEO Group</t>
  </si>
  <si>
    <t>Insurance</t>
  </si>
  <si>
    <t>Irving</t>
  </si>
  <si>
    <t>Dropified</t>
  </si>
  <si>
    <t>AL</t>
  </si>
  <si>
    <t>Business Products &amp; Services</t>
  </si>
  <si>
    <t>Birmingham</t>
  </si>
  <si>
    <t>Sparx Hockey</t>
  </si>
  <si>
    <t>MA</t>
  </si>
  <si>
    <t>Boston</t>
  </si>
  <si>
    <t>Acton</t>
  </si>
  <si>
    <t>TrueChoicePack</t>
  </si>
  <si>
    <t>Cincinnati</t>
  </si>
  <si>
    <t>Mason</t>
  </si>
  <si>
    <t>Ooze Wholesale</t>
  </si>
  <si>
    <t>Oak Park</t>
  </si>
  <si>
    <t>Progyny</t>
  </si>
  <si>
    <t>Pax8</t>
  </si>
  <si>
    <t>Greenwood Village</t>
  </si>
  <si>
    <t>Terminus</t>
  </si>
  <si>
    <t>Chomps</t>
  </si>
  <si>
    <t>Naples</t>
  </si>
  <si>
    <t>Rad Power Bikes</t>
  </si>
  <si>
    <t>TradePending</t>
  </si>
  <si>
    <t>Chapel Hill</t>
  </si>
  <si>
    <t>West Creek Financial</t>
  </si>
  <si>
    <t>Glen Allen</t>
  </si>
  <si>
    <t>CityLift Parking</t>
  </si>
  <si>
    <t>Oakland</t>
  </si>
  <si>
    <t>Associated Veterans</t>
  </si>
  <si>
    <t>Arlington</t>
  </si>
  <si>
    <t>Fetch Rewards</t>
  </si>
  <si>
    <t>10X Genomics</t>
  </si>
  <si>
    <t>Pleasanton</t>
  </si>
  <si>
    <t>4th &amp; Heart</t>
  </si>
  <si>
    <t>Venice Beach</t>
  </si>
  <si>
    <t>GreenPrint</t>
  </si>
  <si>
    <t>Sky Marketing Corporation</t>
  </si>
  <si>
    <t>Pendo</t>
  </si>
  <si>
    <t>Raleigh</t>
  </si>
  <si>
    <t>Core Software Technologies</t>
  </si>
  <si>
    <t>Plainsboro</t>
  </si>
  <si>
    <t>EcoSystems</t>
  </si>
  <si>
    <t>Brickell Men's Products</t>
  </si>
  <si>
    <t>ME</t>
  </si>
  <si>
    <t>Portland</t>
  </si>
  <si>
    <t>Patton Warehousing</t>
  </si>
  <si>
    <t>Milton</t>
  </si>
  <si>
    <t>SydanTech</t>
  </si>
  <si>
    <t>WT Stevens Construction</t>
  </si>
  <si>
    <t>Flint</t>
  </si>
  <si>
    <t>Wandrd</t>
  </si>
  <si>
    <t>Confidio</t>
  </si>
  <si>
    <t>Baltimore</t>
  </si>
  <si>
    <t>Towson</t>
  </si>
  <si>
    <t>Dynamic Logistix</t>
  </si>
  <si>
    <t>KS</t>
  </si>
  <si>
    <t>Overland Park</t>
  </si>
  <si>
    <t>Asset Panda</t>
  </si>
  <si>
    <t>Frisco</t>
  </si>
  <si>
    <t>SeaBay Building Group</t>
  </si>
  <si>
    <t>Hayward</t>
  </si>
  <si>
    <t>Blue Fire Leads</t>
  </si>
  <si>
    <t>Provo</t>
  </si>
  <si>
    <t>Loanatik</t>
  </si>
  <si>
    <t>SupportNinja</t>
  </si>
  <si>
    <t>Grove Collaborative</t>
  </si>
  <si>
    <t>Cisoshare</t>
  </si>
  <si>
    <t>San Juan Capistrano</t>
  </si>
  <si>
    <t>DigitalOnUS</t>
  </si>
  <si>
    <t>San Jose</t>
  </si>
  <si>
    <t>GForce Life Sciences</t>
  </si>
  <si>
    <t>IL</t>
  </si>
  <si>
    <t>Chicago</t>
  </si>
  <si>
    <t>Capitol Bridge</t>
  </si>
  <si>
    <t>Kentucky Counseling Center</t>
  </si>
  <si>
    <t>LOUISVILLE</t>
  </si>
  <si>
    <t>Shefit</t>
  </si>
  <si>
    <t>Hudsonville</t>
  </si>
  <si>
    <t>US Mobile</t>
  </si>
  <si>
    <t>White Plains</t>
  </si>
  <si>
    <t>Feedonomics</t>
  </si>
  <si>
    <t>Woodland Hills</t>
  </si>
  <si>
    <t>Amenity Health</t>
  </si>
  <si>
    <t>Payability</t>
  </si>
  <si>
    <t>Eagle Transport and Logistics</t>
  </si>
  <si>
    <t>Columbus</t>
  </si>
  <si>
    <t>ShipBob</t>
  </si>
  <si>
    <t>Powerhome Solar</t>
  </si>
  <si>
    <t>Mooresville</t>
  </si>
  <si>
    <t>LendingOne</t>
  </si>
  <si>
    <t>OwnBackup</t>
  </si>
  <si>
    <t>Fort Lee</t>
  </si>
  <si>
    <t>Invictus International Consulting</t>
  </si>
  <si>
    <t>Alexandria</t>
  </si>
  <si>
    <t>Go Energistics</t>
  </si>
  <si>
    <t>Colleyville</t>
  </si>
  <si>
    <t>Total Expert</t>
  </si>
  <si>
    <t>BuzzyBooth</t>
  </si>
  <si>
    <t>Santa Monica</t>
  </si>
  <si>
    <t>Cognira</t>
  </si>
  <si>
    <t>B3 Group</t>
  </si>
  <si>
    <t>Herndon</t>
  </si>
  <si>
    <t>Inspiranza Designs</t>
  </si>
  <si>
    <t>Columbia</t>
  </si>
  <si>
    <t>OnesourcePCS</t>
  </si>
  <si>
    <t>PENSACOLA</t>
  </si>
  <si>
    <t>Cience Technologies</t>
  </si>
  <si>
    <t>Solana Beach</t>
  </si>
  <si>
    <t>Austin Cryo Ventures</t>
  </si>
  <si>
    <t>Sweet Loren's</t>
  </si>
  <si>
    <t>Copper</t>
  </si>
  <si>
    <t>5 Star Roofing and Restoration</t>
  </si>
  <si>
    <t>DigitalCrafts</t>
  </si>
  <si>
    <t>Education</t>
  </si>
  <si>
    <t>LoadUp Technologies</t>
  </si>
  <si>
    <t>SkillSet Group</t>
  </si>
  <si>
    <t>Santa Ana</t>
  </si>
  <si>
    <t>Ally Logistics</t>
  </si>
  <si>
    <t>Grand Rapids</t>
  </si>
  <si>
    <t>BAMFi</t>
  </si>
  <si>
    <t>Potoo</t>
  </si>
  <si>
    <t>CT</t>
  </si>
  <si>
    <t>Norwalk</t>
  </si>
  <si>
    <t>Parsons Xtreme Golf</t>
  </si>
  <si>
    <t>Scottsdale</t>
  </si>
  <si>
    <t>Onfleet</t>
  </si>
  <si>
    <t>PatientPop</t>
  </si>
  <si>
    <t>Gravity IT Resources</t>
  </si>
  <si>
    <t>Fort Lauderdale</t>
  </si>
  <si>
    <t>MedLab International</t>
  </si>
  <si>
    <t>Cortland</t>
  </si>
  <si>
    <t>Equity &amp; Help</t>
  </si>
  <si>
    <t>Clearwater</t>
  </si>
  <si>
    <t>Ridgeline International</t>
  </si>
  <si>
    <t>Tysons Corner</t>
  </si>
  <si>
    <t>China Metal Solutions</t>
  </si>
  <si>
    <t>BlueSky Resource Solutions</t>
  </si>
  <si>
    <t>Centauri Health Solutions</t>
  </si>
  <si>
    <t>scottsdale</t>
  </si>
  <si>
    <t>CellTrade NY</t>
  </si>
  <si>
    <t>Hicksville</t>
  </si>
  <si>
    <t>Exabeam</t>
  </si>
  <si>
    <t>San Mateo</t>
  </si>
  <si>
    <t>Kinsmen Group</t>
  </si>
  <si>
    <t>West Chester</t>
  </si>
  <si>
    <t>Owens Recovery Science</t>
  </si>
  <si>
    <t>San Antonio</t>
  </si>
  <si>
    <t>WinIt</t>
  </si>
  <si>
    <t>Techolution</t>
  </si>
  <si>
    <t>Solvix Solutions</t>
  </si>
  <si>
    <t>Marlton</t>
  </si>
  <si>
    <t>LoveBug Probiotics</t>
  </si>
  <si>
    <t>Nationwide Pharmaceutical</t>
  </si>
  <si>
    <t>Freedom Forever</t>
  </si>
  <si>
    <t>Temecula</t>
  </si>
  <si>
    <t>Alpha Omega Integration</t>
  </si>
  <si>
    <t>Vienna</t>
  </si>
  <si>
    <t>Arsenal Strength</t>
  </si>
  <si>
    <t>Capital Brand Group</t>
  </si>
  <si>
    <t>Silver Spring</t>
  </si>
  <si>
    <t>FedWriters</t>
  </si>
  <si>
    <t>Fairfax</t>
  </si>
  <si>
    <t>Sethmar Transportation</t>
  </si>
  <si>
    <t>Hyperion Partners</t>
  </si>
  <si>
    <t>NV</t>
  </si>
  <si>
    <t>Las Vegas</t>
  </si>
  <si>
    <t>Arcalea</t>
  </si>
  <si>
    <t>Haga Kommer</t>
  </si>
  <si>
    <t>ND</t>
  </si>
  <si>
    <t>Fargo</t>
  </si>
  <si>
    <t>Waggl</t>
  </si>
  <si>
    <t>Sausalito</t>
  </si>
  <si>
    <t>Roman Roofing</t>
  </si>
  <si>
    <t>Florida</t>
  </si>
  <si>
    <t>Akumina</t>
  </si>
  <si>
    <t>NH</t>
  </si>
  <si>
    <t>Nashua</t>
  </si>
  <si>
    <t>ShipMonk</t>
  </si>
  <si>
    <t>Deerfield Beach</t>
  </si>
  <si>
    <t>BrillMedia.co</t>
  </si>
  <si>
    <t>Lake Balboa</t>
  </si>
  <si>
    <t>Rocket Insights</t>
  </si>
  <si>
    <t>Tridant Solutions</t>
  </si>
  <si>
    <t>Pasadena</t>
  </si>
  <si>
    <t>ESC Choice</t>
  </si>
  <si>
    <t>Amherst</t>
  </si>
  <si>
    <t>Nugget</t>
  </si>
  <si>
    <t>Hillsborough</t>
  </si>
  <si>
    <t>Octopi Brewing</t>
  </si>
  <si>
    <t>Waunakee</t>
  </si>
  <si>
    <t>KnowBe4</t>
  </si>
  <si>
    <t>Kinect Solar</t>
  </si>
  <si>
    <t>ComplianceQuest</t>
  </si>
  <si>
    <t>DecisionPoint</t>
  </si>
  <si>
    <t>Gaithersburg</t>
  </si>
  <si>
    <t>Bombas</t>
  </si>
  <si>
    <t>Jonas Paul Eyewear</t>
  </si>
  <si>
    <t>Tamimi Pharmacy</t>
  </si>
  <si>
    <t>Temple Terrace</t>
  </si>
  <si>
    <t>Ad Hoc</t>
  </si>
  <si>
    <t>Valify</t>
  </si>
  <si>
    <t>Sapper Consulting</t>
  </si>
  <si>
    <t>MO</t>
  </si>
  <si>
    <t>St. Louis</t>
  </si>
  <si>
    <t>Privy</t>
  </si>
  <si>
    <t>Scooch</t>
  </si>
  <si>
    <t>IN</t>
  </si>
  <si>
    <t>Noblesville</t>
  </si>
  <si>
    <t>Monkedia</t>
  </si>
  <si>
    <t>UPshow</t>
  </si>
  <si>
    <t>CampusLogic</t>
  </si>
  <si>
    <t>Chandler,</t>
  </si>
  <si>
    <t>PCC Cleaning and Maintenance</t>
  </si>
  <si>
    <t>Brooklyn</t>
  </si>
  <si>
    <t>Quirk Creative</t>
  </si>
  <si>
    <t>Tricopian</t>
  </si>
  <si>
    <t>Poway</t>
  </si>
  <si>
    <t>Efficient Home Services of Florida</t>
  </si>
  <si>
    <t>Fitness Cubed</t>
  </si>
  <si>
    <t>Velox Media</t>
  </si>
  <si>
    <t>1Link Technology</t>
  </si>
  <si>
    <t>Germantown</t>
  </si>
  <si>
    <t>Quadrant Resource</t>
  </si>
  <si>
    <t>Redmond</t>
  </si>
  <si>
    <t>MyHealth</t>
  </si>
  <si>
    <t>Brookhaven</t>
  </si>
  <si>
    <t>Velocity Global</t>
  </si>
  <si>
    <t>Oseth Group</t>
  </si>
  <si>
    <t>Sterling</t>
  </si>
  <si>
    <t>Koia</t>
  </si>
  <si>
    <t>Sifted</t>
  </si>
  <si>
    <t>PRx Performance</t>
  </si>
  <si>
    <t>Universal Yums</t>
  </si>
  <si>
    <t>Parsippany-Troy Hills</t>
  </si>
  <si>
    <t>Bridge Brothers</t>
  </si>
  <si>
    <t>Dynamic Systems Technology</t>
  </si>
  <si>
    <t>Supinf Technologies</t>
  </si>
  <si>
    <t>Rockville</t>
  </si>
  <si>
    <t>Davis Cargo</t>
  </si>
  <si>
    <t>orlando</t>
  </si>
  <si>
    <t>Polaris Energy Services</t>
  </si>
  <si>
    <t>San Luis Obispo</t>
  </si>
  <si>
    <t>SetSchedule</t>
  </si>
  <si>
    <t>Irvine</t>
  </si>
  <si>
    <t>L2 Defense</t>
  </si>
  <si>
    <t>Middle River</t>
  </si>
  <si>
    <t>Motivosity</t>
  </si>
  <si>
    <t>Advoc8</t>
  </si>
  <si>
    <t>DC</t>
  </si>
  <si>
    <t>Washington</t>
  </si>
  <si>
    <t>Real Plans</t>
  </si>
  <si>
    <t>Walnut</t>
  </si>
  <si>
    <t>Axiom Strategies</t>
  </si>
  <si>
    <t>Kansas City</t>
  </si>
  <si>
    <t>Midway Staffing</t>
  </si>
  <si>
    <t>Berwyn</t>
  </si>
  <si>
    <t>Perfect Part</t>
  </si>
  <si>
    <t>North Hollywood</t>
  </si>
  <si>
    <t>Silverline Home Remodeling</t>
  </si>
  <si>
    <t>Canoga Park</t>
  </si>
  <si>
    <t>Maxim Zenwise Opco</t>
  </si>
  <si>
    <t>Orlando</t>
  </si>
  <si>
    <t>World Housing Solution</t>
  </si>
  <si>
    <t>SANFORD</t>
  </si>
  <si>
    <t>City Ventures</t>
  </si>
  <si>
    <t>NE</t>
  </si>
  <si>
    <t>Omaha</t>
  </si>
  <si>
    <t>Web Presence</t>
  </si>
  <si>
    <t>Sarasota</t>
  </si>
  <si>
    <t>Energy Earth</t>
  </si>
  <si>
    <t>Chattanooga</t>
  </si>
  <si>
    <t>Empowered Electric</t>
  </si>
  <si>
    <t>North Kansas City</t>
  </si>
  <si>
    <t>Bookkeeper Business Launch</t>
  </si>
  <si>
    <t>WY</t>
  </si>
  <si>
    <t>Cheyenne</t>
  </si>
  <si>
    <t>Noom</t>
  </si>
  <si>
    <t>Zenith Engineers</t>
  </si>
  <si>
    <t>Engineering</t>
  </si>
  <si>
    <t>Let's Make A Lead</t>
  </si>
  <si>
    <t>Momentum Solar</t>
  </si>
  <si>
    <t>South Plainfield</t>
  </si>
  <si>
    <t>Radius Networks</t>
  </si>
  <si>
    <t>Fattmerchant</t>
  </si>
  <si>
    <t>Infinium Group</t>
  </si>
  <si>
    <t>MURRIETA</t>
  </si>
  <si>
    <t>Memory.net</t>
  </si>
  <si>
    <t>SAN CLEMENTE</t>
  </si>
  <si>
    <t>FactoryPure</t>
  </si>
  <si>
    <t>san antonio</t>
  </si>
  <si>
    <t>Untappd</t>
  </si>
  <si>
    <t>Wilmington</t>
  </si>
  <si>
    <t>MikMak</t>
  </si>
  <si>
    <t>Fusion Recruiting Labs</t>
  </si>
  <si>
    <t>Red Bank</t>
  </si>
  <si>
    <t>Office Libations</t>
  </si>
  <si>
    <t>Broker Online Exchange</t>
  </si>
  <si>
    <t>Suffern</t>
  </si>
  <si>
    <t>ODL Services</t>
  </si>
  <si>
    <t>Virginia Beach</t>
  </si>
  <si>
    <t>Platinum Health</t>
  </si>
  <si>
    <t>Avelead</t>
  </si>
  <si>
    <t>Suwanee</t>
  </si>
  <si>
    <t>CMG-Midwest</t>
  </si>
  <si>
    <t>Quince Orchard Psychotherapy</t>
  </si>
  <si>
    <t>RedShelf</t>
  </si>
  <si>
    <t>TransAmerica Express Logistics</t>
  </si>
  <si>
    <t>Sacramento</t>
  </si>
  <si>
    <t>Flipcause</t>
  </si>
  <si>
    <t>Simply NUC</t>
  </si>
  <si>
    <t>Round Rock</t>
  </si>
  <si>
    <t>Virtual Machine Solutions</t>
  </si>
  <si>
    <t>Gateway Genomics</t>
  </si>
  <si>
    <t>La Jolla</t>
  </si>
  <si>
    <t>Strativia</t>
  </si>
  <si>
    <t>LARGO</t>
  </si>
  <si>
    <t>ClockShark</t>
  </si>
  <si>
    <t>Chico</t>
  </si>
  <si>
    <t>TriFold</t>
  </si>
  <si>
    <t>Energy Ogre</t>
  </si>
  <si>
    <t>D. Ott Construction</t>
  </si>
  <si>
    <t>Lancaster</t>
  </si>
  <si>
    <t>Medisuite</t>
  </si>
  <si>
    <t>Cary</t>
  </si>
  <si>
    <t>MYTA Technologies</t>
  </si>
  <si>
    <t>Deal Partners</t>
  </si>
  <si>
    <t>Doral</t>
  </si>
  <si>
    <t>IES</t>
  </si>
  <si>
    <t>LaSalle</t>
  </si>
  <si>
    <t>ResiCap</t>
  </si>
  <si>
    <t>Transcend Security Solutions</t>
  </si>
  <si>
    <t>GlobalTex USA</t>
  </si>
  <si>
    <t>Vespa Group</t>
  </si>
  <si>
    <t>Indianapolis</t>
  </si>
  <si>
    <t>Bridgewater Homes</t>
  </si>
  <si>
    <t>Loveland</t>
  </si>
  <si>
    <t>Park Financial Group</t>
  </si>
  <si>
    <t>Chronovo</t>
  </si>
  <si>
    <t>Burlington</t>
  </si>
  <si>
    <t>Maverick Media Ventures</t>
  </si>
  <si>
    <t>Garden City</t>
  </si>
  <si>
    <t>Kortx</t>
  </si>
  <si>
    <t>Royal Oak</t>
  </si>
  <si>
    <t>Bawla Consulting</t>
  </si>
  <si>
    <t>Valley Stream</t>
  </si>
  <si>
    <t>Pawstruck</t>
  </si>
  <si>
    <t>Long Beach</t>
  </si>
  <si>
    <t>Blue Raven Solar</t>
  </si>
  <si>
    <t>American Fork</t>
  </si>
  <si>
    <t>Woom Bikes USA</t>
  </si>
  <si>
    <t>Mixt Solutions</t>
  </si>
  <si>
    <t>Plain City</t>
  </si>
  <si>
    <t>ThrivePass</t>
  </si>
  <si>
    <t>Premier Health Solutions</t>
  </si>
  <si>
    <t>Impact Analytics</t>
  </si>
  <si>
    <t>Linthicum, MD 21090</t>
  </si>
  <si>
    <t>Hemper</t>
  </si>
  <si>
    <t>HAUPPAUGE</t>
  </si>
  <si>
    <t>Intermex</t>
  </si>
  <si>
    <t>hacienda heights</t>
  </si>
  <si>
    <t>PatientBond</t>
  </si>
  <si>
    <t>Elmhurst</t>
  </si>
  <si>
    <t>Ginn Group</t>
  </si>
  <si>
    <t>Vancouver</t>
  </si>
  <si>
    <t>PANTHERX Rare</t>
  </si>
  <si>
    <t>Pittsburgh</t>
  </si>
  <si>
    <t>Factorial Digital</t>
  </si>
  <si>
    <t>SC</t>
  </si>
  <si>
    <t>Mount Pleasant</t>
  </si>
  <si>
    <t>T-Rex Solutions</t>
  </si>
  <si>
    <t>Greenbelt</t>
  </si>
  <si>
    <t>Toops</t>
  </si>
  <si>
    <t>Evanston</t>
  </si>
  <si>
    <t>InfuseMedia</t>
  </si>
  <si>
    <t>NEWTON CENTER</t>
  </si>
  <si>
    <t>Teachable</t>
  </si>
  <si>
    <t>Squadhelp.com</t>
  </si>
  <si>
    <t>Hoffman Estates</t>
  </si>
  <si>
    <t>Take2 Consulting</t>
  </si>
  <si>
    <t>Epion Health</t>
  </si>
  <si>
    <t>Gotcha Media Holdings</t>
  </si>
  <si>
    <t>Charleston</t>
  </si>
  <si>
    <t>Kyzen Consulting Services</t>
  </si>
  <si>
    <t>CheckedUp</t>
  </si>
  <si>
    <t>Cultivate Advisors</t>
  </si>
  <si>
    <t>Advisors Education</t>
  </si>
  <si>
    <t>Jacksonville</t>
  </si>
  <si>
    <t>Recleim</t>
  </si>
  <si>
    <t>Maddox Industrial Transformer</t>
  </si>
  <si>
    <t>Simpsonville</t>
  </si>
  <si>
    <t>Mako Medical Laboratories</t>
  </si>
  <si>
    <t>Alert Media</t>
  </si>
  <si>
    <t>Southern Veterinary Partners</t>
  </si>
  <si>
    <t>Birmimgham</t>
  </si>
  <si>
    <t>Flexicrew Technical Services</t>
  </si>
  <si>
    <t>LA</t>
  </si>
  <si>
    <t>Metairie</t>
  </si>
  <si>
    <t>Texas Beauty Labs</t>
  </si>
  <si>
    <t>Scientist.com</t>
  </si>
  <si>
    <t>Hennessey Consulting</t>
  </si>
  <si>
    <t>Valencia</t>
  </si>
  <si>
    <t>Meleeo</t>
  </si>
  <si>
    <t>Odessa</t>
  </si>
  <si>
    <t>SNA International</t>
  </si>
  <si>
    <t>Staymobile</t>
  </si>
  <si>
    <t>Marietta</t>
  </si>
  <si>
    <t>Amani Enterprises</t>
  </si>
  <si>
    <t>Privateer IT</t>
  </si>
  <si>
    <t>Melbourne</t>
  </si>
  <si>
    <t>Discuss.io</t>
  </si>
  <si>
    <t>Dollar Fulfillment</t>
  </si>
  <si>
    <t>Hayden</t>
  </si>
  <si>
    <t>Domino Data Lab</t>
  </si>
  <si>
    <t>LYFE Marketing</t>
  </si>
  <si>
    <t>Alivi</t>
  </si>
  <si>
    <t>doral</t>
  </si>
  <si>
    <t>EETech Media</t>
  </si>
  <si>
    <t>Gravis Law</t>
  </si>
  <si>
    <t>Richland</t>
  </si>
  <si>
    <t>Cousins Logistics</t>
  </si>
  <si>
    <t>Position2</t>
  </si>
  <si>
    <t>Santa Clara</t>
  </si>
  <si>
    <t>BentoBox CMS</t>
  </si>
  <si>
    <t>Symbol Health Solutions</t>
  </si>
  <si>
    <t>Mobile</t>
  </si>
  <si>
    <t>Crisp Video Group</t>
  </si>
  <si>
    <t>Sand Cloud</t>
  </si>
  <si>
    <t>Wrapify</t>
  </si>
  <si>
    <t>Solana Bech</t>
  </si>
  <si>
    <t>Iuvo Logistics</t>
  </si>
  <si>
    <t>Dayton</t>
  </si>
  <si>
    <t>Group 10 Capital</t>
  </si>
  <si>
    <t>Miami Beach</t>
  </si>
  <si>
    <t>Basemakers</t>
  </si>
  <si>
    <t>Venice</t>
  </si>
  <si>
    <t>Tossware</t>
  </si>
  <si>
    <t>Fontana</t>
  </si>
  <si>
    <t>360ia</t>
  </si>
  <si>
    <t>Lafayette</t>
  </si>
  <si>
    <t>NextGen Leads</t>
  </si>
  <si>
    <t>ColtonCooper</t>
  </si>
  <si>
    <t>HANDLE</t>
  </si>
  <si>
    <t>Prospect</t>
  </si>
  <si>
    <t>BestSelf Ventures</t>
  </si>
  <si>
    <t>TazKai</t>
  </si>
  <si>
    <t>ALLEN</t>
  </si>
  <si>
    <t>Cumulus Networks</t>
  </si>
  <si>
    <t>Mountain View</t>
  </si>
  <si>
    <t>OppLoans</t>
  </si>
  <si>
    <t>Common Thread Collective</t>
  </si>
  <si>
    <t>Newport Beach</t>
  </si>
  <si>
    <t>Cloudbeds</t>
  </si>
  <si>
    <t>Vested Metals International</t>
  </si>
  <si>
    <t>Saint Augustine</t>
  </si>
  <si>
    <t>Platt Cheema Richmond</t>
  </si>
  <si>
    <t>Revelry</t>
  </si>
  <si>
    <t>QOS Networks</t>
  </si>
  <si>
    <t>Koddi</t>
  </si>
  <si>
    <t>Fort Worth</t>
  </si>
  <si>
    <t>Change Media Group</t>
  </si>
  <si>
    <t>Lansing</t>
  </si>
  <si>
    <t>BLDG-25</t>
  </si>
  <si>
    <t>Dropoff</t>
  </si>
  <si>
    <t>Modavate</t>
  </si>
  <si>
    <t>Buford</t>
  </si>
  <si>
    <t>Arcus Financial Intelligence</t>
  </si>
  <si>
    <t>Digital Resource</t>
  </si>
  <si>
    <t>West Palm Beach</t>
  </si>
  <si>
    <t>Girikon</t>
  </si>
  <si>
    <t>Liberty Rent Guarantee</t>
  </si>
  <si>
    <t>Fairhope</t>
  </si>
  <si>
    <t>Inflowlogistics</t>
  </si>
  <si>
    <t>Pymetrics</t>
  </si>
  <si>
    <t>Madewell Construction</t>
  </si>
  <si>
    <t>Lubbock</t>
  </si>
  <si>
    <t>Power Target</t>
  </si>
  <si>
    <t>Millersville</t>
  </si>
  <si>
    <t>Bidwise</t>
  </si>
  <si>
    <t>PR</t>
  </si>
  <si>
    <t>San Juan</t>
  </si>
  <si>
    <t>Wavicle Data Solutions</t>
  </si>
  <si>
    <t>Red Seat Ventures</t>
  </si>
  <si>
    <t>reCommerce</t>
  </si>
  <si>
    <t>Design Pickle</t>
  </si>
  <si>
    <t>Hyperice</t>
  </si>
  <si>
    <t>Synfiny Advisors</t>
  </si>
  <si>
    <t>MNS1 Express</t>
  </si>
  <si>
    <t>Bolingbrook</t>
  </si>
  <si>
    <t>TomboyX</t>
  </si>
  <si>
    <t>ShopPad</t>
  </si>
  <si>
    <t>Carta</t>
  </si>
  <si>
    <t>SnackNation</t>
  </si>
  <si>
    <t>Culver City</t>
  </si>
  <si>
    <t>Staffing as a Mission</t>
  </si>
  <si>
    <t>Azure Knowledge</t>
  </si>
  <si>
    <t>Piscataway</t>
  </si>
  <si>
    <t>Element78 Partners</t>
  </si>
  <si>
    <t>Oak Brook</t>
  </si>
  <si>
    <t>inVibe Labs</t>
  </si>
  <si>
    <t>Costa Mesa</t>
  </si>
  <si>
    <t>SimpleNexus</t>
  </si>
  <si>
    <t>The Language Group</t>
  </si>
  <si>
    <t>Green Bits</t>
  </si>
  <si>
    <t>M2M In Motion</t>
  </si>
  <si>
    <t>Lombard</t>
  </si>
  <si>
    <t>AdFicient</t>
  </si>
  <si>
    <t>Saint Louis</t>
  </si>
  <si>
    <t>Raddish Kids</t>
  </si>
  <si>
    <t>Redondo Beach</t>
  </si>
  <si>
    <t>Titan Mechanical</t>
  </si>
  <si>
    <t>manassas</t>
  </si>
  <si>
    <t>NanaMacs Clothing</t>
  </si>
  <si>
    <t>Post Falls</t>
  </si>
  <si>
    <t>Perimeter Security Partners</t>
  </si>
  <si>
    <t>LYNC Logistics</t>
  </si>
  <si>
    <t>Cox Residential</t>
  </si>
  <si>
    <t>Carmel</t>
  </si>
  <si>
    <t>Stealth-ISS Group</t>
  </si>
  <si>
    <t>Seeq Corporation</t>
  </si>
  <si>
    <t>M7 Services</t>
  </si>
  <si>
    <t>Healthy Human</t>
  </si>
  <si>
    <t>Mt Pleasant</t>
  </si>
  <si>
    <t>Professional Hair Labs</t>
  </si>
  <si>
    <t>Zephyrhills</t>
  </si>
  <si>
    <t>Strategic Alliance Business Group</t>
  </si>
  <si>
    <t>Synup</t>
  </si>
  <si>
    <t>First Stop Health</t>
  </si>
  <si>
    <t>BoxyCharm</t>
  </si>
  <si>
    <t>Pembroke Pines</t>
  </si>
  <si>
    <t>WearMe Pro</t>
  </si>
  <si>
    <t>Tempe</t>
  </si>
  <si>
    <t>Vidoori</t>
  </si>
  <si>
    <t>Stackify</t>
  </si>
  <si>
    <t>Leawood</t>
  </si>
  <si>
    <t>XY - The Persistent Company</t>
  </si>
  <si>
    <t>Dental Intelligence</t>
  </si>
  <si>
    <t>Pleasant Grove</t>
  </si>
  <si>
    <t>PowerInbox</t>
  </si>
  <si>
    <t>SimpleTire</t>
  </si>
  <si>
    <t>Trevose</t>
  </si>
  <si>
    <t>Creative State Marketing</t>
  </si>
  <si>
    <t>UrbanStems</t>
  </si>
  <si>
    <t>GCubed Enterprises</t>
  </si>
  <si>
    <t>Stafford</t>
  </si>
  <si>
    <t>VideoAmp</t>
  </si>
  <si>
    <t>SweetScience Marketing</t>
  </si>
  <si>
    <t>King of Prussia</t>
  </si>
  <si>
    <t>Rented.com</t>
  </si>
  <si>
    <t>Lakarya</t>
  </si>
  <si>
    <t>Cosset</t>
  </si>
  <si>
    <t>South Salt Lake</t>
  </si>
  <si>
    <t>Tomahawk Strategic Solutions</t>
  </si>
  <si>
    <t>Della Infotech</t>
  </si>
  <si>
    <t>Hamilton</t>
  </si>
  <si>
    <t>Realvolve</t>
  </si>
  <si>
    <t>Edvenswa Tech</t>
  </si>
  <si>
    <t>UpNest</t>
  </si>
  <si>
    <t>Burlingame</t>
  </si>
  <si>
    <t>Double Wood</t>
  </si>
  <si>
    <t>Van Law Firm</t>
  </si>
  <si>
    <t>Mobile Text Alerts</t>
  </si>
  <si>
    <t>Lincoln</t>
  </si>
  <si>
    <t>Apogee Stores</t>
  </si>
  <si>
    <t>New Credit America</t>
  </si>
  <si>
    <t>OR</t>
  </si>
  <si>
    <t>Bore Tech Utilities</t>
  </si>
  <si>
    <t>Anna Marie Events</t>
  </si>
  <si>
    <t>Pattern</t>
  </si>
  <si>
    <t>Advanced Operations Partners</t>
  </si>
  <si>
    <t>Newline Interactive</t>
  </si>
  <si>
    <t>Plano</t>
  </si>
  <si>
    <t>Groove.co</t>
  </si>
  <si>
    <t>G2</t>
  </si>
  <si>
    <t>Lean Staffing Solutions</t>
  </si>
  <si>
    <t>Coral Springs</t>
  </si>
  <si>
    <t>Vigene Biosciences</t>
  </si>
  <si>
    <t>Pitisci &amp; Associates</t>
  </si>
  <si>
    <t>CouponCause.com</t>
  </si>
  <si>
    <t>Topanga</t>
  </si>
  <si>
    <t>Arrive Logistics</t>
  </si>
  <si>
    <t>Integrity Cargo Solutions</t>
  </si>
  <si>
    <t>Cerritos</t>
  </si>
  <si>
    <t>Wireless Everywhere</t>
  </si>
  <si>
    <t>AudienceX</t>
  </si>
  <si>
    <t>Marina Del Rey</t>
  </si>
  <si>
    <t>SOCi</t>
  </si>
  <si>
    <t>Advanced Architectural Products</t>
  </si>
  <si>
    <t>Allegan</t>
  </si>
  <si>
    <t>Proper Media</t>
  </si>
  <si>
    <t>Dispatch Technologies</t>
  </si>
  <si>
    <t>Kisi Security</t>
  </si>
  <si>
    <t>BridgeTech</t>
  </si>
  <si>
    <t>Boomerang Transportation</t>
  </si>
  <si>
    <t>E&amp;M Technologies</t>
  </si>
  <si>
    <t>Reston</t>
  </si>
  <si>
    <t>Advertise Purple</t>
  </si>
  <si>
    <t>Spike Brewing Equipment</t>
  </si>
  <si>
    <t>Milwaukee</t>
  </si>
  <si>
    <t>Pathway Vet Alliance</t>
  </si>
  <si>
    <t>Bailey's Blossoms</t>
  </si>
  <si>
    <t>AURORA</t>
  </si>
  <si>
    <t>Simple Technology Solutions</t>
  </si>
  <si>
    <t>SkyRun Breckenridge</t>
  </si>
  <si>
    <t>Breckenridge</t>
  </si>
  <si>
    <t>Clean Juice</t>
  </si>
  <si>
    <t>Charlotte</t>
  </si>
  <si>
    <t>InGenius Prep</t>
  </si>
  <si>
    <t>New Haven</t>
  </si>
  <si>
    <t>Aysco Technology Integration</t>
  </si>
  <si>
    <t>kent</t>
  </si>
  <si>
    <t>Kenna Security</t>
  </si>
  <si>
    <t>CarLotz</t>
  </si>
  <si>
    <t>Richmond</t>
  </si>
  <si>
    <t>Assured Consulting Solutions</t>
  </si>
  <si>
    <t>The Garrett Companies</t>
  </si>
  <si>
    <t>Greenwood</t>
  </si>
  <si>
    <t>Era Transport</t>
  </si>
  <si>
    <t>M-Communications</t>
  </si>
  <si>
    <t>Evans</t>
  </si>
  <si>
    <t>ClickFunnels</t>
  </si>
  <si>
    <t>Eagle</t>
  </si>
  <si>
    <t>BCM London</t>
  </si>
  <si>
    <t>Uptime</t>
  </si>
  <si>
    <t>Van Nuys</t>
  </si>
  <si>
    <t>Competitive Range Solutions</t>
  </si>
  <si>
    <t>Alton</t>
  </si>
  <si>
    <t>Real Broker</t>
  </si>
  <si>
    <t>Buhler Commercial</t>
  </si>
  <si>
    <t>Trailhead Marketing</t>
  </si>
  <si>
    <t>Factor 75</t>
  </si>
  <si>
    <t>Batavia</t>
  </si>
  <si>
    <t>Algolia</t>
  </si>
  <si>
    <t>Midway Dental Supply</t>
  </si>
  <si>
    <t>Livonia</t>
  </si>
  <si>
    <t>eAudit</t>
  </si>
  <si>
    <t>Emerald Isle</t>
  </si>
  <si>
    <t>Panagora Group</t>
  </si>
  <si>
    <t>MCI</t>
  </si>
  <si>
    <t>IA</t>
  </si>
  <si>
    <t>Iowa City</t>
  </si>
  <si>
    <t>Abrams Realty</t>
  </si>
  <si>
    <t>Pelican Waste &amp; Debris</t>
  </si>
  <si>
    <t>Please Select</t>
  </si>
  <si>
    <t>Gametime</t>
  </si>
  <si>
    <t>Morning Lavender</t>
  </si>
  <si>
    <t>Tustin</t>
  </si>
  <si>
    <t>Keypath Education</t>
  </si>
  <si>
    <t>Schaumberg</t>
  </si>
  <si>
    <t>Thigo International</t>
  </si>
  <si>
    <t>SAN GABRIEL</t>
  </si>
  <si>
    <t>Saved By The Dress</t>
  </si>
  <si>
    <t>Starc Systems</t>
  </si>
  <si>
    <t>Brunswick</t>
  </si>
  <si>
    <t>Angel Heart Boutique</t>
  </si>
  <si>
    <t>OK</t>
  </si>
  <si>
    <t>Edmond</t>
  </si>
  <si>
    <t>ARM Consulting</t>
  </si>
  <si>
    <t>Leesburg</t>
  </si>
  <si>
    <t>Chacka Marketing</t>
  </si>
  <si>
    <t>MapleMark Bank</t>
  </si>
  <si>
    <t>Vonlane</t>
  </si>
  <si>
    <t>Prosper Group</t>
  </si>
  <si>
    <t>Point3 Security</t>
  </si>
  <si>
    <t>Perry Hall</t>
  </si>
  <si>
    <t>Directive</t>
  </si>
  <si>
    <t>Alkami Technology</t>
  </si>
  <si>
    <t>QuickBox Fulfillment</t>
  </si>
  <si>
    <t>SandsRx</t>
  </si>
  <si>
    <t>Wylie</t>
  </si>
  <si>
    <t>The Building People</t>
  </si>
  <si>
    <t>LEESBURG</t>
  </si>
  <si>
    <t>The SnapBar</t>
  </si>
  <si>
    <t>Gig Harbor</t>
  </si>
  <si>
    <t>FitSmallBusiness.com</t>
  </si>
  <si>
    <t>Powerful Professionals</t>
  </si>
  <si>
    <t>Alpharetta</t>
  </si>
  <si>
    <t>Probo Medical</t>
  </si>
  <si>
    <t>Fishers</t>
  </si>
  <si>
    <t>Spotio</t>
  </si>
  <si>
    <t>Prime Meridian Capital Management</t>
  </si>
  <si>
    <t>Walnut Creek</t>
  </si>
  <si>
    <t>Fox Dealer</t>
  </si>
  <si>
    <t>Kubikware</t>
  </si>
  <si>
    <t>Aventura</t>
  </si>
  <si>
    <t>Rocket Referrals</t>
  </si>
  <si>
    <t>Des Moines</t>
  </si>
  <si>
    <t>Bonusly</t>
  </si>
  <si>
    <t>Boulder</t>
  </si>
  <si>
    <t>Trident Transport</t>
  </si>
  <si>
    <t>The Fila Group</t>
  </si>
  <si>
    <t>Seaman's Beverage and Logistics</t>
  </si>
  <si>
    <t>Belleville</t>
  </si>
  <si>
    <t>ServiceTitan</t>
  </si>
  <si>
    <t>Glendale</t>
  </si>
  <si>
    <t>BlueWave Solar</t>
  </si>
  <si>
    <t>Resource Financial</t>
  </si>
  <si>
    <t>Saprex</t>
  </si>
  <si>
    <t>Gastonia</t>
  </si>
  <si>
    <t>Simple Energy</t>
  </si>
  <si>
    <t>New Energy Equity</t>
  </si>
  <si>
    <t>Annapolis</t>
  </si>
  <si>
    <t>Vedder Holsters</t>
  </si>
  <si>
    <t>Mount Dora</t>
  </si>
  <si>
    <t>FloWater</t>
  </si>
  <si>
    <t>Vaughan Buckley Construction</t>
  </si>
  <si>
    <t>Acacia Counseling &amp; Wellness</t>
  </si>
  <si>
    <t>Goleta</t>
  </si>
  <si>
    <t>Every Door Real Estate</t>
  </si>
  <si>
    <t>Thought Logic Consulting</t>
  </si>
  <si>
    <t>PBG Consulting</t>
  </si>
  <si>
    <t>Mclean</t>
  </si>
  <si>
    <t>Sarvicus</t>
  </si>
  <si>
    <t>Universal Processing</t>
  </si>
  <si>
    <t>The Apella Group</t>
  </si>
  <si>
    <t>Plymouth Meeting</t>
  </si>
  <si>
    <t>Lemonaid Health</t>
  </si>
  <si>
    <t>Coulee Techlink</t>
  </si>
  <si>
    <t>HOLMEN</t>
  </si>
  <si>
    <t>Transform Group</t>
  </si>
  <si>
    <t>JP Ecommerce</t>
  </si>
  <si>
    <t>Blaine</t>
  </si>
  <si>
    <t>Hardcore Fitness Boot Camp</t>
  </si>
  <si>
    <t>Santa Clarita</t>
  </si>
  <si>
    <t>cellhelmet</t>
  </si>
  <si>
    <t>Sewickley</t>
  </si>
  <si>
    <t>Conga</t>
  </si>
  <si>
    <t>Westminster</t>
  </si>
  <si>
    <t>Blast Tech</t>
  </si>
  <si>
    <t>Brossard</t>
  </si>
  <si>
    <t>LoanPaymentPro</t>
  </si>
  <si>
    <t>Bloomingdale</t>
  </si>
  <si>
    <t>Admera Health</t>
  </si>
  <si>
    <t>Professional Realty Services International</t>
  </si>
  <si>
    <t>Spokane</t>
  </si>
  <si>
    <t>Social Sparkling Wine</t>
  </si>
  <si>
    <t>TicketSauce.com</t>
  </si>
  <si>
    <t>ProSource360 Consulting Services</t>
  </si>
  <si>
    <t>Spinnaker Consulting Group</t>
  </si>
  <si>
    <t>Maxx Builders and Designers</t>
  </si>
  <si>
    <t>Vape Guys</t>
  </si>
  <si>
    <t>COLONIAL HEIGHTS</t>
  </si>
  <si>
    <t>Y-Tech</t>
  </si>
  <si>
    <t>Annapolis Junction</t>
  </si>
  <si>
    <t>Silver Trucking</t>
  </si>
  <si>
    <t>ST LOUIS</t>
  </si>
  <si>
    <t>Linux Academy</t>
  </si>
  <si>
    <t>Keller</t>
  </si>
  <si>
    <t>Spartan Armor Systems</t>
  </si>
  <si>
    <t>Tucson</t>
  </si>
  <si>
    <t>Mainsail Group</t>
  </si>
  <si>
    <t>Bedford</t>
  </si>
  <si>
    <t>Baybridge Pharmacy Corp</t>
  </si>
  <si>
    <t>Bayside</t>
  </si>
  <si>
    <t>Quantico Tactical</t>
  </si>
  <si>
    <t>Aberdeen</t>
  </si>
  <si>
    <t>Knewsales Group</t>
  </si>
  <si>
    <t>Beauty Bakerie Cosmetics Brand</t>
  </si>
  <si>
    <t>Two Bulls</t>
  </si>
  <si>
    <t>Nickel &amp; Suede</t>
  </si>
  <si>
    <t>Liberty</t>
  </si>
  <si>
    <t>Teknismart Solutions</t>
  </si>
  <si>
    <t>Sprout School Supplies</t>
  </si>
  <si>
    <t>Colonial Beach</t>
  </si>
  <si>
    <t>Kuli Kuli Foods</t>
  </si>
  <si>
    <t>LifeHealth</t>
  </si>
  <si>
    <t>Littleton</t>
  </si>
  <si>
    <t>Peaxy</t>
  </si>
  <si>
    <t>Private Label Extensions</t>
  </si>
  <si>
    <t>Retail Service Systems</t>
  </si>
  <si>
    <t>Dublin</t>
  </si>
  <si>
    <t>Icon Building Supplies</t>
  </si>
  <si>
    <t>Prime Technical Services</t>
  </si>
  <si>
    <t>Hyper Networks</t>
  </si>
  <si>
    <t>Henderson</t>
  </si>
  <si>
    <t>Out of the Box Technology</t>
  </si>
  <si>
    <t>Tigard</t>
  </si>
  <si>
    <t>Aldevra</t>
  </si>
  <si>
    <t>PORTAGE</t>
  </si>
  <si>
    <t>Native Digital</t>
  </si>
  <si>
    <t>Karya Property Management</t>
  </si>
  <si>
    <t>Full Circle Brands</t>
  </si>
  <si>
    <t>Harbor Compliance</t>
  </si>
  <si>
    <t>LEDMyplace.com</t>
  </si>
  <si>
    <t>Louisville</t>
  </si>
  <si>
    <t>NEXgistics</t>
  </si>
  <si>
    <t>Buffalo</t>
  </si>
  <si>
    <t>Concourse Federal Group</t>
  </si>
  <si>
    <t>Elite Insurance Partners</t>
  </si>
  <si>
    <t>SBGA</t>
  </si>
  <si>
    <t>Pentwater Furnishing</t>
  </si>
  <si>
    <t>BayInfotech</t>
  </si>
  <si>
    <t>XY Planning Network</t>
  </si>
  <si>
    <t>Bozeman</t>
  </si>
  <si>
    <t>Gymguyz</t>
  </si>
  <si>
    <t>Plainview</t>
  </si>
  <si>
    <t>Steward Construction Services</t>
  </si>
  <si>
    <t>Fusion</t>
  </si>
  <si>
    <t>Woodbridge</t>
  </si>
  <si>
    <t>PositivePsyche.Biz Corp</t>
  </si>
  <si>
    <t>GridGain Systems</t>
  </si>
  <si>
    <t>Foster City</t>
  </si>
  <si>
    <t>Levvel</t>
  </si>
  <si>
    <t>Employdrive</t>
  </si>
  <si>
    <t>BairesDev</t>
  </si>
  <si>
    <t>Campbell</t>
  </si>
  <si>
    <t>TripleLift</t>
  </si>
  <si>
    <t>Digital Hyve</t>
  </si>
  <si>
    <t>Syracuse</t>
  </si>
  <si>
    <t>Printful</t>
  </si>
  <si>
    <t>Ashley Black Guru</t>
  </si>
  <si>
    <t>Pearland</t>
  </si>
  <si>
    <t>Phoenix Operations Group</t>
  </si>
  <si>
    <t>Woodbine</t>
  </si>
  <si>
    <t>Talk IQ Media</t>
  </si>
  <si>
    <t>Nesconset</t>
  </si>
  <si>
    <t>GovernmentCIO</t>
  </si>
  <si>
    <t>Draken International</t>
  </si>
  <si>
    <t>Lakeland</t>
  </si>
  <si>
    <t>Tierra Encantada</t>
  </si>
  <si>
    <t>The Digital Ring</t>
  </si>
  <si>
    <t>FNEX</t>
  </si>
  <si>
    <t>Elite Transit Solutions</t>
  </si>
  <si>
    <t>Nexus Pharmaceuticals</t>
  </si>
  <si>
    <t>Lincolnshire</t>
  </si>
  <si>
    <t>Dynamo Technologies</t>
  </si>
  <si>
    <t>Dignari</t>
  </si>
  <si>
    <t>All-Pro Electric</t>
  </si>
  <si>
    <t>Haverhill</t>
  </si>
  <si>
    <t>Alphacore</t>
  </si>
  <si>
    <t>Breakthrough Physical Therapy Marketing</t>
  </si>
  <si>
    <t>Jackson</t>
  </si>
  <si>
    <t>Kingsview Partners</t>
  </si>
  <si>
    <t>Grants Pass</t>
  </si>
  <si>
    <t>GlobalPro Recovery</t>
  </si>
  <si>
    <t>Coral Gables</t>
  </si>
  <si>
    <t>FreeAlliance.com</t>
  </si>
  <si>
    <t>HealthCare.com</t>
  </si>
  <si>
    <t>Ansley Operating Holding Company</t>
  </si>
  <si>
    <t>Blue Marble Payroll</t>
  </si>
  <si>
    <t>Skokie</t>
  </si>
  <si>
    <t>Green Powered Technology</t>
  </si>
  <si>
    <t>Conversion Logix</t>
  </si>
  <si>
    <t>Bothell</t>
  </si>
  <si>
    <t>Jay Morrison Academy</t>
  </si>
  <si>
    <t>Anson Belt</t>
  </si>
  <si>
    <t>North Myrtle Beach</t>
  </si>
  <si>
    <t>Braeden Engineering</t>
  </si>
  <si>
    <t>Social Fulcrum</t>
  </si>
  <si>
    <t>Trinity Technology Partners</t>
  </si>
  <si>
    <t>Vetnique Pet Products</t>
  </si>
  <si>
    <t>NAPERVILLE</t>
  </si>
  <si>
    <t>JBK Wellness Labs</t>
  </si>
  <si>
    <t>cloudIT</t>
  </si>
  <si>
    <t>The Shredder + MedShred</t>
  </si>
  <si>
    <t>Tranont</t>
  </si>
  <si>
    <t>Nyla Technology Solutions</t>
  </si>
  <si>
    <t>Azazie</t>
  </si>
  <si>
    <t>Vuesol Technologies</t>
  </si>
  <si>
    <t>Black Spectacles</t>
  </si>
  <si>
    <t>Tractleads</t>
  </si>
  <si>
    <t>Rochester</t>
  </si>
  <si>
    <t>HealthFlex Home Health Services</t>
  </si>
  <si>
    <t>Fieldwork Brewing Company</t>
  </si>
  <si>
    <t>Berkeley</t>
  </si>
  <si>
    <t>Louisiana</t>
  </si>
  <si>
    <t>California</t>
  </si>
  <si>
    <t>Wyoming</t>
  </si>
  <si>
    <t>Years_on_list</t>
  </si>
  <si>
    <t>Name</t>
  </si>
  <si>
    <t>State</t>
  </si>
  <si>
    <t>Revenue</t>
  </si>
  <si>
    <t>Growth_%</t>
  </si>
  <si>
    <t>Industry</t>
  </si>
  <si>
    <t>Workers</t>
  </si>
  <si>
    <t>Previous_workers</t>
  </si>
  <si>
    <t>Founded</t>
  </si>
  <si>
    <t>City</t>
  </si>
  <si>
    <t>Row Labels</t>
  </si>
  <si>
    <t>Grand Total</t>
  </si>
  <si>
    <t>Sum of Revenue</t>
  </si>
  <si>
    <t>Average of Revenue</t>
  </si>
  <si>
    <t>Avg Revenue</t>
  </si>
  <si>
    <t>Industries</t>
  </si>
  <si>
    <t>Count of Industry</t>
  </si>
  <si>
    <t>Odp: Nie w każdym przypadku, jedynie branża zdrowotna w dużej ilości generuje 2 największy średni przychód, z kolei 1 z  najmniej licznych energetyczna jest liderem</t>
  </si>
  <si>
    <t>Average  Revenue</t>
  </si>
  <si>
    <t>Median Revenue</t>
  </si>
  <si>
    <t>Odp: A&amp;M oraz Zdrowie zawyżają przychód</t>
  </si>
  <si>
    <t>Sum of Growth_%</t>
  </si>
  <si>
    <t>Average of Growth_%</t>
  </si>
  <si>
    <t>Count of Name</t>
  </si>
  <si>
    <t>Liczba firm</t>
  </si>
  <si>
    <t>Odp. W większości tak, jednakże największym średnim wzrostem może się poszczycić stan Nowy Jork, który pod wzglem liczebności jest dopiero 4</t>
  </si>
  <si>
    <t>Sum of Workers</t>
  </si>
  <si>
    <t>Ekstremalny wzrost dotyczy z reguły małych firm, do 100 pracowników, wyjątkiem jest Cece z branży żywności</t>
  </si>
  <si>
    <t>Sum of Previous_workers</t>
  </si>
  <si>
    <t>Sum of delta workers</t>
  </si>
  <si>
    <t>Największy średni wzrost zanotowały Żywność,CP and S oraz  Medialna</t>
  </si>
  <si>
    <t>Najwięcej pracownikow zatrudniały firmy z branży produktów biznesowych, HR i zdrowia, jednak jeśli chodzi o przychód to jedynie Pathaway utrzymał prym, z kolei Midway lepiej  wypadł pod katem  wzrostu procentowego</t>
  </si>
  <si>
    <t>Sum of Revenue per Worker</t>
  </si>
  <si>
    <t>Arizona</t>
  </si>
  <si>
    <t>Tennessee</t>
  </si>
  <si>
    <t>Texas</t>
  </si>
  <si>
    <t>New Mexico</t>
  </si>
  <si>
    <t>Pennsylvania</t>
  </si>
  <si>
    <t>New Jersey</t>
  </si>
  <si>
    <t>Virginia</t>
  </si>
  <si>
    <t>Ohio</t>
  </si>
  <si>
    <t>Colorado</t>
  </si>
  <si>
    <t>Georgia</t>
  </si>
  <si>
    <t>Kentucky</t>
  </si>
  <si>
    <t>Idaho</t>
  </si>
  <si>
    <t>Utah</t>
  </si>
  <si>
    <t>Montana</t>
  </si>
  <si>
    <t>North Carolina</t>
  </si>
  <si>
    <t>Wisconsin</t>
  </si>
  <si>
    <t>Michigan</t>
  </si>
  <si>
    <t>Maryland</t>
  </si>
  <si>
    <t>Minnesota</t>
  </si>
  <si>
    <t>Alabama</t>
  </si>
  <si>
    <t>Massachusetts</t>
  </si>
  <si>
    <t>Maine</t>
  </si>
  <si>
    <t>Kansas</t>
  </si>
  <si>
    <t>Illinois</t>
  </si>
  <si>
    <t>Connecticut</t>
  </si>
  <si>
    <t>Nevada</t>
  </si>
  <si>
    <t>North Dakota</t>
  </si>
  <si>
    <t>New Hampshire</t>
  </si>
  <si>
    <t>Missouri</t>
  </si>
  <si>
    <t>Indiana</t>
  </si>
  <si>
    <t>District of Columbia</t>
  </si>
  <si>
    <t>Nebraska</t>
  </si>
  <si>
    <t>South Carolina</t>
  </si>
  <si>
    <t>Puerto Rico</t>
  </si>
  <si>
    <t>Oregon</t>
  </si>
  <si>
    <t>Iowa</t>
  </si>
  <si>
    <t>Oklahoma</t>
  </si>
  <si>
    <t>Full State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</si>
</sst>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5C]* #,##0.00_-;\-[$$-45C]* #,##0.00_-;_-[$$-45C]* &quot;-&quot;??_-;_-@_-"/>
    <numFmt numFmtId="165" formatCode="_-[$$-45C]* #,##0_-;\-[$$-45C]* #,##0_-;_-[$$-45C]*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9">
    <dxf>
      <numFmt numFmtId="164" formatCode="_-[$$-45C]* #,##0.00_-;\-[$$-45C]* #,##0.00_-;_-[$$-45C]* &quot;-&quot;??_-;_-@_-"/>
    </dxf>
    <dxf>
      <numFmt numFmtId="164" formatCode="_-[$$-45C]* #,##0.00_-;\-[$$-45C]* #,##0.00_-;_-[$$-45C]* &quot;-&quot;??_-;_-@_-"/>
    </dxf>
    <dxf>
      <numFmt numFmtId="0" formatCode="General"/>
    </dxf>
    <dxf>
      <numFmt numFmtId="0" formatCode="General"/>
    </dxf>
    <dxf>
      <numFmt numFmtId="2" formatCode="0.00"/>
    </dxf>
    <dxf>
      <numFmt numFmtId="165" formatCode="_-[$$-45C]* #,##0_-;\-[$$-45C]* #,##0_-;_-[$$-45C]* &quot;-&quot;??_-;_-@_-"/>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 analiza.xlsx]pivot_table!PivotTable1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Avg Revenue</c:v>
                </c:pt>
              </c:strCache>
            </c:strRef>
          </c:tx>
          <c:spPr>
            <a:solidFill>
              <a:schemeClr val="accent1"/>
            </a:solidFill>
            <a:ln>
              <a:noFill/>
            </a:ln>
            <a:effectLst/>
          </c:spPr>
          <c:invertIfNegative val="0"/>
          <c:cat>
            <c:strRef>
              <c:f>pivot_table!$A$4:$A$14</c:f>
              <c:strCache>
                <c:ptCount val="10"/>
                <c:pt idx="0">
                  <c:v>Health</c:v>
                </c:pt>
                <c:pt idx="1">
                  <c:v>Real Estate</c:v>
                </c:pt>
                <c:pt idx="2">
                  <c:v>Energy</c:v>
                </c:pt>
                <c:pt idx="3">
                  <c:v>Logistics &amp; Transportation</c:v>
                </c:pt>
                <c:pt idx="4">
                  <c:v>Government Services</c:v>
                </c:pt>
                <c:pt idx="5">
                  <c:v>Financial Services</c:v>
                </c:pt>
                <c:pt idx="6">
                  <c:v>Consumer Products &amp; Services</c:v>
                </c:pt>
                <c:pt idx="7">
                  <c:v>Insurance</c:v>
                </c:pt>
                <c:pt idx="8">
                  <c:v>Environmental Services</c:v>
                </c:pt>
                <c:pt idx="9">
                  <c:v>Advertising &amp; Marketing</c:v>
                </c:pt>
              </c:strCache>
            </c:strRef>
          </c:cat>
          <c:val>
            <c:numRef>
              <c:f>pivot_table!$B$4:$B$14</c:f>
              <c:numCache>
                <c:formatCode>_-[$$-45C]* #\ ##0_-;\-[$$-45C]* #\ ##0_-;_-[$$-45C]* "-"??_-;_-@_-</c:formatCode>
                <c:ptCount val="10"/>
                <c:pt idx="0">
                  <c:v>62218367.346938774</c:v>
                </c:pt>
                <c:pt idx="1">
                  <c:v>52165000</c:v>
                </c:pt>
                <c:pt idx="2">
                  <c:v>48242857.142857142</c:v>
                </c:pt>
                <c:pt idx="3">
                  <c:v>36917647.058823526</c:v>
                </c:pt>
                <c:pt idx="4">
                  <c:v>32302325.58139535</c:v>
                </c:pt>
                <c:pt idx="5">
                  <c:v>24863636.363636363</c:v>
                </c:pt>
                <c:pt idx="6">
                  <c:v>23556000</c:v>
                </c:pt>
                <c:pt idx="7">
                  <c:v>21350000</c:v>
                </c:pt>
                <c:pt idx="8">
                  <c:v>20420000</c:v>
                </c:pt>
                <c:pt idx="9">
                  <c:v>18406451.612903226</c:v>
                </c:pt>
              </c:numCache>
            </c:numRef>
          </c:val>
          <c:extLst>
            <c:ext xmlns:c16="http://schemas.microsoft.com/office/drawing/2014/chart" uri="{C3380CC4-5D6E-409C-BE32-E72D297353CC}">
              <c16:uniqueId val="{00000000-8A1A-43FD-A2BA-E544F6F44740}"/>
            </c:ext>
          </c:extLst>
        </c:ser>
        <c:ser>
          <c:idx val="1"/>
          <c:order val="1"/>
          <c:tx>
            <c:strRef>
              <c:f>pivot_table!$C$3</c:f>
              <c:strCache>
                <c:ptCount val="1"/>
                <c:pt idx="0">
                  <c:v>Count of Industry</c:v>
                </c:pt>
              </c:strCache>
            </c:strRef>
          </c:tx>
          <c:spPr>
            <a:solidFill>
              <a:schemeClr val="accent2"/>
            </a:solidFill>
            <a:ln>
              <a:noFill/>
            </a:ln>
            <a:effectLst/>
          </c:spPr>
          <c:invertIfNegative val="0"/>
          <c:cat>
            <c:strRef>
              <c:f>pivot_table!$A$4:$A$14</c:f>
              <c:strCache>
                <c:ptCount val="10"/>
                <c:pt idx="0">
                  <c:v>Health</c:v>
                </c:pt>
                <c:pt idx="1">
                  <c:v>Real Estate</c:v>
                </c:pt>
                <c:pt idx="2">
                  <c:v>Energy</c:v>
                </c:pt>
                <c:pt idx="3">
                  <c:v>Logistics &amp; Transportation</c:v>
                </c:pt>
                <c:pt idx="4">
                  <c:v>Government Services</c:v>
                </c:pt>
                <c:pt idx="5">
                  <c:v>Financial Services</c:v>
                </c:pt>
                <c:pt idx="6">
                  <c:v>Consumer Products &amp; Services</c:v>
                </c:pt>
                <c:pt idx="7">
                  <c:v>Insurance</c:v>
                </c:pt>
                <c:pt idx="8">
                  <c:v>Environmental Services</c:v>
                </c:pt>
                <c:pt idx="9">
                  <c:v>Advertising &amp; Marketing</c:v>
                </c:pt>
              </c:strCache>
            </c:strRef>
          </c:cat>
          <c:val>
            <c:numRef>
              <c:f>pivot_table!$C$4:$C$14</c:f>
              <c:numCache>
                <c:formatCode>General</c:formatCode>
                <c:ptCount val="10"/>
                <c:pt idx="0">
                  <c:v>49</c:v>
                </c:pt>
                <c:pt idx="1">
                  <c:v>20</c:v>
                </c:pt>
                <c:pt idx="2">
                  <c:v>14</c:v>
                </c:pt>
                <c:pt idx="3">
                  <c:v>34</c:v>
                </c:pt>
                <c:pt idx="4">
                  <c:v>43</c:v>
                </c:pt>
                <c:pt idx="5">
                  <c:v>22</c:v>
                </c:pt>
                <c:pt idx="6">
                  <c:v>50</c:v>
                </c:pt>
                <c:pt idx="7">
                  <c:v>6</c:v>
                </c:pt>
                <c:pt idx="8">
                  <c:v>5</c:v>
                </c:pt>
                <c:pt idx="9">
                  <c:v>62</c:v>
                </c:pt>
              </c:numCache>
            </c:numRef>
          </c:val>
          <c:extLst>
            <c:ext xmlns:c16="http://schemas.microsoft.com/office/drawing/2014/chart" uri="{C3380CC4-5D6E-409C-BE32-E72D297353CC}">
              <c16:uniqueId val="{00000003-8A1A-43FD-A2BA-E544F6F44740}"/>
            </c:ext>
          </c:extLst>
        </c:ser>
        <c:dLbls>
          <c:showLegendKey val="0"/>
          <c:showVal val="0"/>
          <c:showCatName val="0"/>
          <c:showSerName val="0"/>
          <c:showPercent val="0"/>
          <c:showBubbleSize val="0"/>
        </c:dLbls>
        <c:gapWidth val="219"/>
        <c:overlap val="-27"/>
        <c:axId val="469458296"/>
        <c:axId val="469459016"/>
      </c:barChart>
      <c:catAx>
        <c:axId val="469458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69459016"/>
        <c:crosses val="autoZero"/>
        <c:auto val="1"/>
        <c:lblAlgn val="ctr"/>
        <c:lblOffset val="100"/>
        <c:noMultiLvlLbl val="0"/>
      </c:catAx>
      <c:valAx>
        <c:axId val="469459016"/>
        <c:scaling>
          <c:orientation val="minMax"/>
        </c:scaling>
        <c:delete val="0"/>
        <c:axPos val="l"/>
        <c:majorGridlines>
          <c:spPr>
            <a:ln w="9525" cap="flat" cmpd="sng" algn="ctr">
              <a:solidFill>
                <a:schemeClr val="tx1">
                  <a:lumMod val="15000"/>
                  <a:lumOff val="85000"/>
                </a:schemeClr>
              </a:solidFill>
              <a:round/>
            </a:ln>
            <a:effectLst/>
          </c:spPr>
        </c:majorGridlines>
        <c:numFmt formatCode="_-[$$-45C]* #\ ##0_-;\-[$$-45C]* #\ ##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69458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 analiza.xlsx]pivot_table!PivotTable2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c:f>
              <c:strCache>
                <c:ptCount val="1"/>
                <c:pt idx="0">
                  <c:v>Total</c:v>
                </c:pt>
              </c:strCache>
            </c:strRef>
          </c:tx>
          <c:spPr>
            <a:solidFill>
              <a:schemeClr val="accent1"/>
            </a:solidFill>
            <a:ln>
              <a:noFill/>
            </a:ln>
            <a:effectLst/>
          </c:spPr>
          <c:invertIfNegative val="0"/>
          <c:cat>
            <c:strRef>
              <c:f>pivot_table!$A$19:$A$29</c:f>
              <c:strCache>
                <c:ptCount val="10"/>
                <c:pt idx="0">
                  <c:v>Engineering</c:v>
                </c:pt>
                <c:pt idx="1">
                  <c:v>Media</c:v>
                </c:pt>
                <c:pt idx="2">
                  <c:v>Travel &amp; Hospitality</c:v>
                </c:pt>
                <c:pt idx="3">
                  <c:v>Environmental Services</c:v>
                </c:pt>
                <c:pt idx="4">
                  <c:v>Computer Hardware</c:v>
                </c:pt>
                <c:pt idx="5">
                  <c:v>Insurance</c:v>
                </c:pt>
                <c:pt idx="6">
                  <c:v>Telecommunications</c:v>
                </c:pt>
                <c:pt idx="7">
                  <c:v>Human Resources</c:v>
                </c:pt>
                <c:pt idx="8">
                  <c:v>Education</c:v>
                </c:pt>
                <c:pt idx="9">
                  <c:v>Security</c:v>
                </c:pt>
              </c:strCache>
            </c:strRef>
          </c:cat>
          <c:val>
            <c:numRef>
              <c:f>pivot_table!$B$19:$B$29</c:f>
              <c:numCache>
                <c:formatCode>General</c:formatCode>
                <c:ptCount val="10"/>
                <c:pt idx="0">
                  <c:v>3</c:v>
                </c:pt>
                <c:pt idx="1">
                  <c:v>3</c:v>
                </c:pt>
                <c:pt idx="2">
                  <c:v>4</c:v>
                </c:pt>
                <c:pt idx="3">
                  <c:v>5</c:v>
                </c:pt>
                <c:pt idx="4">
                  <c:v>6</c:v>
                </c:pt>
                <c:pt idx="5">
                  <c:v>6</c:v>
                </c:pt>
                <c:pt idx="6">
                  <c:v>9</c:v>
                </c:pt>
                <c:pt idx="7">
                  <c:v>10</c:v>
                </c:pt>
                <c:pt idx="8">
                  <c:v>11</c:v>
                </c:pt>
                <c:pt idx="9">
                  <c:v>11</c:v>
                </c:pt>
              </c:numCache>
            </c:numRef>
          </c:val>
          <c:extLst>
            <c:ext xmlns:c16="http://schemas.microsoft.com/office/drawing/2014/chart" uri="{C3380CC4-5D6E-409C-BE32-E72D297353CC}">
              <c16:uniqueId val="{00000000-D4F2-4F72-9BEC-35E78838A955}"/>
            </c:ext>
          </c:extLst>
        </c:ser>
        <c:dLbls>
          <c:showLegendKey val="0"/>
          <c:showVal val="0"/>
          <c:showCatName val="0"/>
          <c:showSerName val="0"/>
          <c:showPercent val="0"/>
          <c:showBubbleSize val="0"/>
        </c:dLbls>
        <c:gapWidth val="182"/>
        <c:axId val="469461896"/>
        <c:axId val="469463336"/>
      </c:barChart>
      <c:catAx>
        <c:axId val="469461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69463336"/>
        <c:crosses val="autoZero"/>
        <c:auto val="1"/>
        <c:lblAlgn val="ctr"/>
        <c:lblOffset val="100"/>
        <c:noMultiLvlLbl val="0"/>
      </c:catAx>
      <c:valAx>
        <c:axId val="469463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469461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 analiza.xlsx]zad3!PivotTable4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Najliczniejsze branże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zad3!$C$2</c:f>
              <c:strCache>
                <c:ptCount val="1"/>
                <c:pt idx="0">
                  <c:v>Count of Industry</c:v>
                </c:pt>
              </c:strCache>
            </c:strRef>
          </c:tx>
          <c:spPr>
            <a:solidFill>
              <a:schemeClr val="accent1"/>
            </a:solidFill>
            <a:ln>
              <a:noFill/>
            </a:ln>
            <a:effectLst/>
          </c:spPr>
          <c:invertIfNegative val="0"/>
          <c:cat>
            <c:strRef>
              <c:f>zad3!$B$3:$B$8</c:f>
              <c:strCache>
                <c:ptCount val="5"/>
                <c:pt idx="0">
                  <c:v>Software</c:v>
                </c:pt>
                <c:pt idx="1">
                  <c:v>Advertising &amp; Marketing</c:v>
                </c:pt>
                <c:pt idx="2">
                  <c:v>Consumer Products &amp; Services</c:v>
                </c:pt>
                <c:pt idx="3">
                  <c:v>Health</c:v>
                </c:pt>
                <c:pt idx="4">
                  <c:v>Government Services</c:v>
                </c:pt>
              </c:strCache>
            </c:strRef>
          </c:cat>
          <c:val>
            <c:numRef>
              <c:f>zad3!$C$3:$C$8</c:f>
              <c:numCache>
                <c:formatCode>General</c:formatCode>
                <c:ptCount val="5"/>
                <c:pt idx="0">
                  <c:v>72</c:v>
                </c:pt>
                <c:pt idx="1">
                  <c:v>62</c:v>
                </c:pt>
                <c:pt idx="2">
                  <c:v>50</c:v>
                </c:pt>
                <c:pt idx="3">
                  <c:v>49</c:v>
                </c:pt>
                <c:pt idx="4">
                  <c:v>43</c:v>
                </c:pt>
              </c:numCache>
            </c:numRef>
          </c:val>
          <c:extLst>
            <c:ext xmlns:c16="http://schemas.microsoft.com/office/drawing/2014/chart" uri="{C3380CC4-5D6E-409C-BE32-E72D297353CC}">
              <c16:uniqueId val="{00000000-A448-4327-B9B9-6CBE6C3941E2}"/>
            </c:ext>
          </c:extLst>
        </c:ser>
        <c:ser>
          <c:idx val="1"/>
          <c:order val="1"/>
          <c:tx>
            <c:strRef>
              <c:f>zad3!$D$2</c:f>
              <c:strCache>
                <c:ptCount val="1"/>
                <c:pt idx="0">
                  <c:v>Average of Growth_%</c:v>
                </c:pt>
              </c:strCache>
            </c:strRef>
          </c:tx>
          <c:spPr>
            <a:solidFill>
              <a:schemeClr val="accent2"/>
            </a:solidFill>
            <a:ln>
              <a:noFill/>
            </a:ln>
            <a:effectLst/>
          </c:spPr>
          <c:invertIfNegative val="0"/>
          <c:cat>
            <c:strRef>
              <c:f>zad3!$B$3:$B$8</c:f>
              <c:strCache>
                <c:ptCount val="5"/>
                <c:pt idx="0">
                  <c:v>Software</c:v>
                </c:pt>
                <c:pt idx="1">
                  <c:v>Advertising &amp; Marketing</c:v>
                </c:pt>
                <c:pt idx="2">
                  <c:v>Consumer Products &amp; Services</c:v>
                </c:pt>
                <c:pt idx="3">
                  <c:v>Health</c:v>
                </c:pt>
                <c:pt idx="4">
                  <c:v>Government Services</c:v>
                </c:pt>
              </c:strCache>
            </c:strRef>
          </c:cat>
          <c:val>
            <c:numRef>
              <c:f>zad3!$D$3:$D$8</c:f>
              <c:numCache>
                <c:formatCode>0.00</c:formatCode>
                <c:ptCount val="5"/>
                <c:pt idx="0">
                  <c:v>2276.7958763888892</c:v>
                </c:pt>
                <c:pt idx="1">
                  <c:v>2557.7035725806463</c:v>
                </c:pt>
                <c:pt idx="2">
                  <c:v>3215.8810760000006</c:v>
                </c:pt>
                <c:pt idx="3">
                  <c:v>2802.4561285714271</c:v>
                </c:pt>
                <c:pt idx="4">
                  <c:v>1769.1183906976753</c:v>
                </c:pt>
              </c:numCache>
            </c:numRef>
          </c:val>
          <c:extLst>
            <c:ext xmlns:c16="http://schemas.microsoft.com/office/drawing/2014/chart" uri="{C3380CC4-5D6E-409C-BE32-E72D297353CC}">
              <c16:uniqueId val="{00000002-A448-4327-B9B9-6CBE6C3941E2}"/>
            </c:ext>
          </c:extLst>
        </c:ser>
        <c:dLbls>
          <c:showLegendKey val="0"/>
          <c:showVal val="0"/>
          <c:showCatName val="0"/>
          <c:showSerName val="0"/>
          <c:showPercent val="0"/>
          <c:showBubbleSize val="0"/>
        </c:dLbls>
        <c:gapWidth val="219"/>
        <c:overlap val="-27"/>
        <c:axId val="1332311504"/>
        <c:axId val="1332317624"/>
      </c:barChart>
      <c:catAx>
        <c:axId val="133231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32317624"/>
        <c:crosses val="autoZero"/>
        <c:auto val="1"/>
        <c:lblAlgn val="ctr"/>
        <c:lblOffset val="100"/>
        <c:noMultiLvlLbl val="0"/>
      </c:catAx>
      <c:valAx>
        <c:axId val="1332317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3231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 analiza.xlsx]zad3!PivotTable5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Najrzadsze</a:t>
            </a:r>
            <a:r>
              <a:rPr lang="pl-PL" baseline="0"/>
              <a:t> branże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zad3!$C$13</c:f>
              <c:strCache>
                <c:ptCount val="1"/>
                <c:pt idx="0">
                  <c:v>Count of Industry</c:v>
                </c:pt>
              </c:strCache>
            </c:strRef>
          </c:tx>
          <c:spPr>
            <a:solidFill>
              <a:schemeClr val="accent2"/>
            </a:solidFill>
            <a:ln>
              <a:noFill/>
            </a:ln>
            <a:effectLst/>
          </c:spPr>
          <c:invertIfNegative val="0"/>
          <c:cat>
            <c:strRef>
              <c:f>zad3!$B$14:$B$20</c:f>
              <c:strCache>
                <c:ptCount val="6"/>
                <c:pt idx="0">
                  <c:v>Engineering</c:v>
                </c:pt>
                <c:pt idx="1">
                  <c:v>Media</c:v>
                </c:pt>
                <c:pt idx="2">
                  <c:v>Travel &amp; Hospitality</c:v>
                </c:pt>
                <c:pt idx="3">
                  <c:v>Environmental Services</c:v>
                </c:pt>
                <c:pt idx="4">
                  <c:v>Computer Hardware</c:v>
                </c:pt>
                <c:pt idx="5">
                  <c:v>Insurance</c:v>
                </c:pt>
              </c:strCache>
            </c:strRef>
          </c:cat>
          <c:val>
            <c:numRef>
              <c:f>zad3!$C$14:$C$20</c:f>
              <c:numCache>
                <c:formatCode>General</c:formatCode>
                <c:ptCount val="6"/>
                <c:pt idx="0">
                  <c:v>3</c:v>
                </c:pt>
                <c:pt idx="1">
                  <c:v>3</c:v>
                </c:pt>
                <c:pt idx="2">
                  <c:v>4</c:v>
                </c:pt>
                <c:pt idx="3">
                  <c:v>5</c:v>
                </c:pt>
                <c:pt idx="4">
                  <c:v>6</c:v>
                </c:pt>
                <c:pt idx="5">
                  <c:v>6</c:v>
                </c:pt>
              </c:numCache>
            </c:numRef>
          </c:val>
          <c:extLst>
            <c:ext xmlns:c16="http://schemas.microsoft.com/office/drawing/2014/chart" uri="{C3380CC4-5D6E-409C-BE32-E72D297353CC}">
              <c16:uniqueId val="{00000000-DB4F-45E0-9270-417BF8F35069}"/>
            </c:ext>
          </c:extLst>
        </c:ser>
        <c:ser>
          <c:idx val="1"/>
          <c:order val="1"/>
          <c:tx>
            <c:strRef>
              <c:f>zad3!$D$13</c:f>
              <c:strCache>
                <c:ptCount val="1"/>
                <c:pt idx="0">
                  <c:v>Average of Growth_%</c:v>
                </c:pt>
              </c:strCache>
            </c:strRef>
          </c:tx>
          <c:spPr>
            <a:solidFill>
              <a:schemeClr val="accent4"/>
            </a:solidFill>
            <a:ln>
              <a:noFill/>
            </a:ln>
            <a:effectLst/>
          </c:spPr>
          <c:invertIfNegative val="0"/>
          <c:cat>
            <c:strRef>
              <c:f>zad3!$B$14:$B$20</c:f>
              <c:strCache>
                <c:ptCount val="6"/>
                <c:pt idx="0">
                  <c:v>Engineering</c:v>
                </c:pt>
                <c:pt idx="1">
                  <c:v>Media</c:v>
                </c:pt>
                <c:pt idx="2">
                  <c:v>Travel &amp; Hospitality</c:v>
                </c:pt>
                <c:pt idx="3">
                  <c:v>Environmental Services</c:v>
                </c:pt>
                <c:pt idx="4">
                  <c:v>Computer Hardware</c:v>
                </c:pt>
                <c:pt idx="5">
                  <c:v>Insurance</c:v>
                </c:pt>
              </c:strCache>
            </c:strRef>
          </c:cat>
          <c:val>
            <c:numRef>
              <c:f>zad3!$D$14:$D$20</c:f>
              <c:numCache>
                <c:formatCode>0.00</c:formatCode>
                <c:ptCount val="6"/>
                <c:pt idx="0">
                  <c:v>1144.9315666666669</c:v>
                </c:pt>
                <c:pt idx="1">
                  <c:v>3075.2747666666669</c:v>
                </c:pt>
                <c:pt idx="2">
                  <c:v>2454.2280000000001</c:v>
                </c:pt>
                <c:pt idx="3">
                  <c:v>2815.1915199999999</c:v>
                </c:pt>
                <c:pt idx="4">
                  <c:v>2748.8197333333333</c:v>
                </c:pt>
                <c:pt idx="5">
                  <c:v>1775.6682000000001</c:v>
                </c:pt>
              </c:numCache>
            </c:numRef>
          </c:val>
          <c:extLst>
            <c:ext xmlns:c16="http://schemas.microsoft.com/office/drawing/2014/chart" uri="{C3380CC4-5D6E-409C-BE32-E72D297353CC}">
              <c16:uniqueId val="{00000002-DB4F-45E0-9270-417BF8F35069}"/>
            </c:ext>
          </c:extLst>
        </c:ser>
        <c:dLbls>
          <c:showLegendKey val="0"/>
          <c:showVal val="0"/>
          <c:showCatName val="0"/>
          <c:showSerName val="0"/>
          <c:showPercent val="0"/>
          <c:showBubbleSize val="0"/>
        </c:dLbls>
        <c:gapWidth val="219"/>
        <c:overlap val="-27"/>
        <c:axId val="1332314384"/>
        <c:axId val="1332318704"/>
      </c:barChart>
      <c:catAx>
        <c:axId val="133231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32318704"/>
        <c:crosses val="autoZero"/>
        <c:auto val="1"/>
        <c:lblAlgn val="ctr"/>
        <c:lblOffset val="100"/>
        <c:noMultiLvlLbl val="0"/>
      </c:catAx>
      <c:valAx>
        <c:axId val="133231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3231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 analiza.xlsx]zad7!PivotTable8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zad7!$B$1</c:f>
              <c:strCache>
                <c:ptCount val="1"/>
                <c:pt idx="0">
                  <c:v>Liczba firm</c:v>
                </c:pt>
              </c:strCache>
            </c:strRef>
          </c:tx>
          <c:spPr>
            <a:solidFill>
              <a:schemeClr val="accent1"/>
            </a:solidFill>
            <a:ln>
              <a:noFill/>
            </a:ln>
            <a:effectLst/>
          </c:spPr>
          <c:invertIfNegative val="0"/>
          <c:cat>
            <c:strRef>
              <c:f>zad7!$A$2:$A$12</c:f>
              <c:strCache>
                <c:ptCount val="10"/>
                <c:pt idx="0">
                  <c:v>Food &amp; Beverage</c:v>
                </c:pt>
                <c:pt idx="1">
                  <c:v>Consumer Products &amp; Services</c:v>
                </c:pt>
                <c:pt idx="2">
                  <c:v>Media</c:v>
                </c:pt>
                <c:pt idx="3">
                  <c:v>Logistics &amp; Transportation</c:v>
                </c:pt>
                <c:pt idx="4">
                  <c:v>Telecommunications</c:v>
                </c:pt>
                <c:pt idx="5">
                  <c:v>Environmental Services</c:v>
                </c:pt>
                <c:pt idx="6">
                  <c:v>Health</c:v>
                </c:pt>
                <c:pt idx="7">
                  <c:v>Financial Services</c:v>
                </c:pt>
                <c:pt idx="8">
                  <c:v>Computer Hardware</c:v>
                </c:pt>
                <c:pt idx="9">
                  <c:v>Advertising &amp; Marketing</c:v>
                </c:pt>
              </c:strCache>
            </c:strRef>
          </c:cat>
          <c:val>
            <c:numRef>
              <c:f>zad7!$B$2:$B$12</c:f>
              <c:numCache>
                <c:formatCode>General</c:formatCode>
                <c:ptCount val="10"/>
                <c:pt idx="0">
                  <c:v>16</c:v>
                </c:pt>
                <c:pt idx="1">
                  <c:v>50</c:v>
                </c:pt>
                <c:pt idx="2">
                  <c:v>3</c:v>
                </c:pt>
                <c:pt idx="3">
                  <c:v>34</c:v>
                </c:pt>
                <c:pt idx="4">
                  <c:v>9</c:v>
                </c:pt>
                <c:pt idx="5">
                  <c:v>5</c:v>
                </c:pt>
                <c:pt idx="6">
                  <c:v>49</c:v>
                </c:pt>
                <c:pt idx="7">
                  <c:v>22</c:v>
                </c:pt>
                <c:pt idx="8">
                  <c:v>6</c:v>
                </c:pt>
                <c:pt idx="9">
                  <c:v>62</c:v>
                </c:pt>
              </c:numCache>
            </c:numRef>
          </c:val>
          <c:extLst>
            <c:ext xmlns:c16="http://schemas.microsoft.com/office/drawing/2014/chart" uri="{C3380CC4-5D6E-409C-BE32-E72D297353CC}">
              <c16:uniqueId val="{00000000-6E19-4B48-81EC-7912498B1A1D}"/>
            </c:ext>
          </c:extLst>
        </c:ser>
        <c:ser>
          <c:idx val="1"/>
          <c:order val="1"/>
          <c:tx>
            <c:strRef>
              <c:f>zad7!$C$1</c:f>
              <c:strCache>
                <c:ptCount val="1"/>
                <c:pt idx="0">
                  <c:v>Average of Growth_%</c:v>
                </c:pt>
              </c:strCache>
            </c:strRef>
          </c:tx>
          <c:spPr>
            <a:solidFill>
              <a:schemeClr val="accent2"/>
            </a:solidFill>
            <a:ln>
              <a:noFill/>
            </a:ln>
            <a:effectLst/>
          </c:spPr>
          <c:invertIfNegative val="0"/>
          <c:cat>
            <c:strRef>
              <c:f>zad7!$A$2:$A$12</c:f>
              <c:strCache>
                <c:ptCount val="10"/>
                <c:pt idx="0">
                  <c:v>Food &amp; Beverage</c:v>
                </c:pt>
                <c:pt idx="1">
                  <c:v>Consumer Products &amp; Services</c:v>
                </c:pt>
                <c:pt idx="2">
                  <c:v>Media</c:v>
                </c:pt>
                <c:pt idx="3">
                  <c:v>Logistics &amp; Transportation</c:v>
                </c:pt>
                <c:pt idx="4">
                  <c:v>Telecommunications</c:v>
                </c:pt>
                <c:pt idx="5">
                  <c:v>Environmental Services</c:v>
                </c:pt>
                <c:pt idx="6">
                  <c:v>Health</c:v>
                </c:pt>
                <c:pt idx="7">
                  <c:v>Financial Services</c:v>
                </c:pt>
                <c:pt idx="8">
                  <c:v>Computer Hardware</c:v>
                </c:pt>
                <c:pt idx="9">
                  <c:v>Advertising &amp; Marketing</c:v>
                </c:pt>
              </c:strCache>
            </c:strRef>
          </c:cat>
          <c:val>
            <c:numRef>
              <c:f>zad7!$C$2:$C$12</c:f>
              <c:numCache>
                <c:formatCode>0.00</c:formatCode>
                <c:ptCount val="10"/>
                <c:pt idx="0">
                  <c:v>3882.3439249999997</c:v>
                </c:pt>
                <c:pt idx="1">
                  <c:v>3215.8810760000006</c:v>
                </c:pt>
                <c:pt idx="2">
                  <c:v>3075.2747666666669</c:v>
                </c:pt>
                <c:pt idx="3">
                  <c:v>3046.2509058823525</c:v>
                </c:pt>
                <c:pt idx="4">
                  <c:v>3025.5397222222223</c:v>
                </c:pt>
                <c:pt idx="5">
                  <c:v>2815.1915199999999</c:v>
                </c:pt>
                <c:pt idx="6">
                  <c:v>2802.4561285714271</c:v>
                </c:pt>
                <c:pt idx="7">
                  <c:v>2762.6833590909096</c:v>
                </c:pt>
                <c:pt idx="8">
                  <c:v>2748.8197333333333</c:v>
                </c:pt>
                <c:pt idx="9">
                  <c:v>2557.7035725806463</c:v>
                </c:pt>
              </c:numCache>
            </c:numRef>
          </c:val>
          <c:extLst>
            <c:ext xmlns:c16="http://schemas.microsoft.com/office/drawing/2014/chart" uri="{C3380CC4-5D6E-409C-BE32-E72D297353CC}">
              <c16:uniqueId val="{00000001-6E19-4B48-81EC-7912498B1A1D}"/>
            </c:ext>
          </c:extLst>
        </c:ser>
        <c:dLbls>
          <c:showLegendKey val="0"/>
          <c:showVal val="0"/>
          <c:showCatName val="0"/>
          <c:showSerName val="0"/>
          <c:showPercent val="0"/>
          <c:showBubbleSize val="0"/>
        </c:dLbls>
        <c:gapWidth val="182"/>
        <c:axId val="1332324104"/>
        <c:axId val="1332327344"/>
      </c:barChart>
      <c:catAx>
        <c:axId val="1332324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32327344"/>
        <c:crosses val="autoZero"/>
        <c:auto val="1"/>
        <c:lblAlgn val="ctr"/>
        <c:lblOffset val="100"/>
        <c:noMultiLvlLbl val="0"/>
      </c:catAx>
      <c:valAx>
        <c:axId val="1332327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3232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 analiza.xlsx]zad13 kpi!PivotTable14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'zad13 kpi'!$B$3</c:f>
              <c:strCache>
                <c:ptCount val="1"/>
                <c:pt idx="0">
                  <c:v>Total</c:v>
                </c:pt>
              </c:strCache>
            </c:strRef>
          </c:tx>
          <c:spPr>
            <a:solidFill>
              <a:schemeClr val="accent1"/>
            </a:solidFill>
            <a:ln>
              <a:noFill/>
            </a:ln>
            <a:effectLst/>
          </c:spPr>
          <c:invertIfNegative val="0"/>
          <c:cat>
            <c:strRef>
              <c:f>'zad13 kpi'!$A$4:$A$14</c:f>
              <c:strCache>
                <c:ptCount val="10"/>
                <c:pt idx="0">
                  <c:v>Health</c:v>
                </c:pt>
                <c:pt idx="1">
                  <c:v>Real Estate</c:v>
                </c:pt>
                <c:pt idx="2">
                  <c:v>Energy</c:v>
                </c:pt>
                <c:pt idx="3">
                  <c:v>Logistics &amp; Transportation</c:v>
                </c:pt>
                <c:pt idx="4">
                  <c:v>Government Services</c:v>
                </c:pt>
                <c:pt idx="5">
                  <c:v>Financial Services</c:v>
                </c:pt>
                <c:pt idx="6">
                  <c:v>Consumer Products &amp; Services</c:v>
                </c:pt>
                <c:pt idx="7">
                  <c:v>Insurance</c:v>
                </c:pt>
                <c:pt idx="8">
                  <c:v>Environmental Services</c:v>
                </c:pt>
                <c:pt idx="9">
                  <c:v>Advertising &amp; Marketing</c:v>
                </c:pt>
              </c:strCache>
            </c:strRef>
          </c:cat>
          <c:val>
            <c:numRef>
              <c:f>'zad13 kpi'!$B$4:$B$14</c:f>
              <c:numCache>
                <c:formatCode>_-[$$-45C]* #\ ##0_-;\-[$$-45C]* #\ ##0_-;_-[$$-45C]* "-"??_-;_-@_-</c:formatCode>
                <c:ptCount val="10"/>
                <c:pt idx="0">
                  <c:v>62218367.346938774</c:v>
                </c:pt>
                <c:pt idx="1">
                  <c:v>52165000</c:v>
                </c:pt>
                <c:pt idx="2">
                  <c:v>48242857.142857142</c:v>
                </c:pt>
                <c:pt idx="3">
                  <c:v>36917647.058823526</c:v>
                </c:pt>
                <c:pt idx="4">
                  <c:v>32302325.58139535</c:v>
                </c:pt>
                <c:pt idx="5">
                  <c:v>24863636.363636363</c:v>
                </c:pt>
                <c:pt idx="6">
                  <c:v>23556000</c:v>
                </c:pt>
                <c:pt idx="7">
                  <c:v>21350000</c:v>
                </c:pt>
                <c:pt idx="8">
                  <c:v>20420000</c:v>
                </c:pt>
                <c:pt idx="9">
                  <c:v>18406451.612903226</c:v>
                </c:pt>
              </c:numCache>
            </c:numRef>
          </c:val>
          <c:extLst>
            <c:ext xmlns:c16="http://schemas.microsoft.com/office/drawing/2014/chart" uri="{C3380CC4-5D6E-409C-BE32-E72D297353CC}">
              <c16:uniqueId val="{00000000-C20F-44E2-9429-86CBC3E04722}"/>
            </c:ext>
          </c:extLst>
        </c:ser>
        <c:dLbls>
          <c:showLegendKey val="0"/>
          <c:showVal val="0"/>
          <c:showCatName val="0"/>
          <c:showSerName val="0"/>
          <c:showPercent val="0"/>
          <c:showBubbleSize val="0"/>
        </c:dLbls>
        <c:gapWidth val="219"/>
        <c:overlap val="-27"/>
        <c:axId val="1340148696"/>
        <c:axId val="1340149056"/>
      </c:barChart>
      <c:catAx>
        <c:axId val="134014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40149056"/>
        <c:crosses val="autoZero"/>
        <c:auto val="1"/>
        <c:lblAlgn val="ctr"/>
        <c:lblOffset val="100"/>
        <c:noMultiLvlLbl val="0"/>
      </c:catAx>
      <c:valAx>
        <c:axId val="1340149056"/>
        <c:scaling>
          <c:orientation val="minMax"/>
        </c:scaling>
        <c:delete val="0"/>
        <c:axPos val="l"/>
        <c:majorGridlines>
          <c:spPr>
            <a:ln w="9525" cap="flat" cmpd="sng" algn="ctr">
              <a:solidFill>
                <a:schemeClr val="tx1">
                  <a:lumMod val="15000"/>
                  <a:lumOff val="85000"/>
                </a:schemeClr>
              </a:solidFill>
              <a:round/>
            </a:ln>
            <a:effectLst/>
          </c:spPr>
        </c:majorGridlines>
        <c:numFmt formatCode="_-[$$-45C]* #\ ##0_-;\-[$$-45C]* #\ ##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40148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[INC analiza.xlsx]zad13 kpi!PivotTable15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'zad13 kpi'!$E$3</c:f>
              <c:strCache>
                <c:ptCount val="1"/>
                <c:pt idx="0">
                  <c:v>Total</c:v>
                </c:pt>
              </c:strCache>
            </c:strRef>
          </c:tx>
          <c:spPr>
            <a:solidFill>
              <a:schemeClr val="accent6"/>
            </a:solidFill>
            <a:ln>
              <a:noFill/>
            </a:ln>
            <a:effectLst/>
          </c:spPr>
          <c:invertIfNegative val="0"/>
          <c:cat>
            <c:strRef>
              <c:f>'zad13 kpi'!$D$4:$D$14</c:f>
              <c:strCache>
                <c:ptCount val="10"/>
                <c:pt idx="0">
                  <c:v>New Mexico</c:v>
                </c:pt>
                <c:pt idx="1">
                  <c:v>Tennessee</c:v>
                </c:pt>
                <c:pt idx="2">
                  <c:v>Arizona</c:v>
                </c:pt>
                <c:pt idx="3">
                  <c:v>Montana</c:v>
                </c:pt>
                <c:pt idx="4">
                  <c:v>Kentucky</c:v>
                </c:pt>
                <c:pt idx="5">
                  <c:v>Idaho</c:v>
                </c:pt>
                <c:pt idx="6">
                  <c:v>Pennsylvania</c:v>
                </c:pt>
                <c:pt idx="7">
                  <c:v>Ohio</c:v>
                </c:pt>
                <c:pt idx="8">
                  <c:v>New Jersey</c:v>
                </c:pt>
                <c:pt idx="9">
                  <c:v>Washington</c:v>
                </c:pt>
              </c:strCache>
            </c:strRef>
          </c:cat>
          <c:val>
            <c:numRef>
              <c:f>'zad13 kpi'!$E$4:$E$14</c:f>
              <c:numCache>
                <c:formatCode>0.00</c:formatCode>
                <c:ptCount val="10"/>
                <c:pt idx="0">
                  <c:v>21849.892500000002</c:v>
                </c:pt>
                <c:pt idx="1">
                  <c:v>4957.6391800000001</c:v>
                </c:pt>
                <c:pt idx="2">
                  <c:v>4676.5362166666664</c:v>
                </c:pt>
                <c:pt idx="3">
                  <c:v>3924.6502999999998</c:v>
                </c:pt>
                <c:pt idx="4">
                  <c:v>3500.5327499999999</c:v>
                </c:pt>
                <c:pt idx="5">
                  <c:v>3048.8521500000002</c:v>
                </c:pt>
                <c:pt idx="6">
                  <c:v>2981.5419071428582</c:v>
                </c:pt>
                <c:pt idx="7">
                  <c:v>2948.9840272727274</c:v>
                </c:pt>
                <c:pt idx="8">
                  <c:v>2774.7757384615379</c:v>
                </c:pt>
                <c:pt idx="9">
                  <c:v>2727.8709999999996</c:v>
                </c:pt>
              </c:numCache>
            </c:numRef>
          </c:val>
          <c:extLst>
            <c:ext xmlns:c16="http://schemas.microsoft.com/office/drawing/2014/chart" uri="{C3380CC4-5D6E-409C-BE32-E72D297353CC}">
              <c16:uniqueId val="{00000000-FA00-46CD-A3C2-AEE570A974AD}"/>
            </c:ext>
          </c:extLst>
        </c:ser>
        <c:dLbls>
          <c:showLegendKey val="0"/>
          <c:showVal val="0"/>
          <c:showCatName val="0"/>
          <c:showSerName val="0"/>
          <c:showPercent val="0"/>
          <c:showBubbleSize val="0"/>
        </c:dLbls>
        <c:gapWidth val="219"/>
        <c:overlap val="-27"/>
        <c:axId val="1345473688"/>
        <c:axId val="1345476928"/>
      </c:barChart>
      <c:catAx>
        <c:axId val="1345473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45476928"/>
        <c:crosses val="autoZero"/>
        <c:auto val="1"/>
        <c:lblAlgn val="ctr"/>
        <c:lblOffset val="100"/>
        <c:noMultiLvlLbl val="0"/>
      </c:catAx>
      <c:valAx>
        <c:axId val="1345476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345473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[INC analiza.xlsx]zad13 kpi!PivotTable16</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l-PL"/>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'zad13 kpi'!$B$30</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'zad13 kpi'!$A$31:$A$41</c:f>
              <c:strCache>
                <c:ptCount val="10"/>
                <c:pt idx="0">
                  <c:v>Software</c:v>
                </c:pt>
                <c:pt idx="1">
                  <c:v>Advertising &amp; Marketing</c:v>
                </c:pt>
                <c:pt idx="2">
                  <c:v>Consumer Products &amp; Services</c:v>
                </c:pt>
                <c:pt idx="3">
                  <c:v>Health</c:v>
                </c:pt>
                <c:pt idx="4">
                  <c:v>Government Services</c:v>
                </c:pt>
                <c:pt idx="5">
                  <c:v>Business Products &amp; Services</c:v>
                </c:pt>
                <c:pt idx="6">
                  <c:v>Logistics &amp; Transportation</c:v>
                </c:pt>
                <c:pt idx="7">
                  <c:v>Retail</c:v>
                </c:pt>
                <c:pt idx="8">
                  <c:v>Construction</c:v>
                </c:pt>
                <c:pt idx="9">
                  <c:v>IT Management</c:v>
                </c:pt>
              </c:strCache>
            </c:strRef>
          </c:cat>
          <c:val>
            <c:numRef>
              <c:f>'zad13 kpi'!$B$31:$B$41</c:f>
              <c:numCache>
                <c:formatCode>General</c:formatCode>
                <c:ptCount val="10"/>
                <c:pt idx="0">
                  <c:v>72</c:v>
                </c:pt>
                <c:pt idx="1">
                  <c:v>62</c:v>
                </c:pt>
                <c:pt idx="2">
                  <c:v>50</c:v>
                </c:pt>
                <c:pt idx="3">
                  <c:v>49</c:v>
                </c:pt>
                <c:pt idx="4">
                  <c:v>43</c:v>
                </c:pt>
                <c:pt idx="5">
                  <c:v>40</c:v>
                </c:pt>
                <c:pt idx="6">
                  <c:v>34</c:v>
                </c:pt>
                <c:pt idx="7">
                  <c:v>30</c:v>
                </c:pt>
                <c:pt idx="8">
                  <c:v>28</c:v>
                </c:pt>
                <c:pt idx="9">
                  <c:v>23</c:v>
                </c:pt>
              </c:numCache>
            </c:numRef>
          </c:val>
          <c:extLst>
            <c:ext xmlns:c16="http://schemas.microsoft.com/office/drawing/2014/chart" uri="{C3380CC4-5D6E-409C-BE32-E72D297353CC}">
              <c16:uniqueId val="{00000000-8CEB-4FAD-A675-ACC1ABACDFBA}"/>
            </c:ext>
          </c:extLst>
        </c:ser>
        <c:dLbls>
          <c:dLblPos val="inEnd"/>
          <c:showLegendKey val="0"/>
          <c:showVal val="1"/>
          <c:showCatName val="0"/>
          <c:showSerName val="0"/>
          <c:showPercent val="0"/>
          <c:showBubbleSize val="0"/>
        </c:dLbls>
        <c:gapWidth val="65"/>
        <c:axId val="1345474408"/>
        <c:axId val="1345478728"/>
      </c:barChart>
      <c:catAx>
        <c:axId val="1345474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pl-PL"/>
          </a:p>
        </c:txPr>
        <c:crossAx val="1345478728"/>
        <c:crosses val="autoZero"/>
        <c:auto val="1"/>
        <c:lblAlgn val="ctr"/>
        <c:lblOffset val="100"/>
        <c:noMultiLvlLbl val="0"/>
      </c:catAx>
      <c:valAx>
        <c:axId val="13454787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l-PL"/>
          </a:p>
        </c:txPr>
        <c:crossAx val="1345474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9525</xdr:colOff>
      <xdr:row>1</xdr:row>
      <xdr:rowOff>14287</xdr:rowOff>
    </xdr:from>
    <xdr:to>
      <xdr:col>10</xdr:col>
      <xdr:colOff>314325</xdr:colOff>
      <xdr:row>15</xdr:row>
      <xdr:rowOff>90487</xdr:rowOff>
    </xdr:to>
    <xdr:graphicFrame macro="">
      <xdr:nvGraphicFramePr>
        <xdr:cNvPr id="2" name="Chart 1">
          <a:extLst>
            <a:ext uri="{FF2B5EF4-FFF2-40B4-BE49-F238E27FC236}">
              <a16:creationId xmlns:a16="http://schemas.microsoft.com/office/drawing/2014/main" id="{B6B34B21-17A5-43F7-4A15-AB2E44EE8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16</xdr:row>
      <xdr:rowOff>176212</xdr:rowOff>
    </xdr:from>
    <xdr:to>
      <xdr:col>10</xdr:col>
      <xdr:colOff>361950</xdr:colOff>
      <xdr:row>31</xdr:row>
      <xdr:rowOff>61912</xdr:rowOff>
    </xdr:to>
    <xdr:graphicFrame macro="">
      <xdr:nvGraphicFramePr>
        <xdr:cNvPr id="3" name="Chart 2">
          <a:extLst>
            <a:ext uri="{FF2B5EF4-FFF2-40B4-BE49-F238E27FC236}">
              <a16:creationId xmlns:a16="http://schemas.microsoft.com/office/drawing/2014/main" id="{B298F088-E20B-B00B-B2B7-9AA02837A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523875</xdr:colOff>
      <xdr:row>0</xdr:row>
      <xdr:rowOff>157162</xdr:rowOff>
    </xdr:from>
    <xdr:to>
      <xdr:col>12</xdr:col>
      <xdr:colOff>552450</xdr:colOff>
      <xdr:row>10</xdr:row>
      <xdr:rowOff>76200</xdr:rowOff>
    </xdr:to>
    <xdr:graphicFrame macro="">
      <xdr:nvGraphicFramePr>
        <xdr:cNvPr id="2" name="Chart 1">
          <a:extLst>
            <a:ext uri="{FF2B5EF4-FFF2-40B4-BE49-F238E27FC236}">
              <a16:creationId xmlns:a16="http://schemas.microsoft.com/office/drawing/2014/main" id="{6AAC8212-377D-BBDE-A493-B7CF049C8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352425</xdr:colOff>
      <xdr:row>12</xdr:row>
      <xdr:rowOff>4762</xdr:rowOff>
    </xdr:from>
    <xdr:to>
      <xdr:col>13</xdr:col>
      <xdr:colOff>47625</xdr:colOff>
      <xdr:row>26</xdr:row>
      <xdr:rowOff>80962</xdr:rowOff>
    </xdr:to>
    <xdr:graphicFrame macro="">
      <xdr:nvGraphicFramePr>
        <xdr:cNvPr id="3" name="Chart 2">
          <a:extLst>
            <a:ext uri="{FF2B5EF4-FFF2-40B4-BE49-F238E27FC236}">
              <a16:creationId xmlns:a16="http://schemas.microsoft.com/office/drawing/2014/main" id="{48047B6F-C566-6402-BE77-8776D8CC1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504825</xdr:colOff>
      <xdr:row>2</xdr:row>
      <xdr:rowOff>157162</xdr:rowOff>
    </xdr:from>
    <xdr:to>
      <xdr:col>11</xdr:col>
      <xdr:colOff>200025</xdr:colOff>
      <xdr:row>17</xdr:row>
      <xdr:rowOff>42862</xdr:rowOff>
    </xdr:to>
    <xdr:graphicFrame macro="">
      <xdr:nvGraphicFramePr>
        <xdr:cNvPr id="2" name="Chart 1">
          <a:extLst>
            <a:ext uri="{FF2B5EF4-FFF2-40B4-BE49-F238E27FC236}">
              <a16:creationId xmlns:a16="http://schemas.microsoft.com/office/drawing/2014/main" id="{675AFB31-B603-3964-EFF0-CD9A82632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533400</xdr:colOff>
      <xdr:row>26</xdr:row>
      <xdr:rowOff>95250</xdr:rowOff>
    </xdr:from>
    <xdr:to>
      <xdr:col>8</xdr:col>
      <xdr:colOff>85725</xdr:colOff>
      <xdr:row>40</xdr:row>
      <xdr:rowOff>95250</xdr:rowOff>
    </xdr:to>
    <mc:AlternateContent xmlns:mc="http://schemas.openxmlformats.org/markup-compatibility/2006" xmlns:a14="http://schemas.microsoft.com/office/drawing/2010/main">
      <mc:Choice Requires="a14">
        <xdr:graphicFrame macro="">
          <xdr:nvGraphicFramePr>
            <xdr:cNvPr id="3" name="Industry">
              <a:extLst>
                <a:ext uri="{FF2B5EF4-FFF2-40B4-BE49-F238E27FC236}">
                  <a16:creationId xmlns:a16="http://schemas.microsoft.com/office/drawing/2014/main" id="{6D6D3CBA-1E6D-3AD5-B3E2-E502CFE95902}"/>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6610350" y="5048250"/>
              <a:ext cx="1828800" cy="266700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409575</xdr:colOff>
      <xdr:row>5</xdr:row>
      <xdr:rowOff>57150</xdr:rowOff>
    </xdr:from>
    <xdr:to>
      <xdr:col>9</xdr:col>
      <xdr:colOff>409575</xdr:colOff>
      <xdr:row>19</xdr:row>
      <xdr:rowOff>57150</xdr:rowOff>
    </xdr:to>
    <mc:AlternateContent xmlns:mc="http://schemas.openxmlformats.org/markup-compatibility/2006" xmlns:a14="http://schemas.microsoft.com/office/drawing/2010/main">
      <mc:Choice Requires="a14">
        <xdr:graphicFrame macro="">
          <xdr:nvGraphicFramePr>
            <xdr:cNvPr id="4" name="Full State Name">
              <a:extLst>
                <a:ext uri="{FF2B5EF4-FFF2-40B4-BE49-F238E27FC236}">
                  <a16:creationId xmlns:a16="http://schemas.microsoft.com/office/drawing/2014/main" id="{2538154F-4D19-D342-7AF9-C7E1EE12F524}"/>
                </a:ext>
              </a:extLst>
            </xdr:cNvPr>
            <xdr:cNvGraphicFramePr/>
          </xdr:nvGraphicFramePr>
          <xdr:xfrm>
            <a:off x="0" y="0"/>
            <a:ext cx="0" cy="0"/>
          </xdr:xfrm>
          <a:graphic>
            <a:graphicData uri="http://schemas.microsoft.com/office/drawing/2010/slicer">
              <sle:slicer xmlns:sle="http://schemas.microsoft.com/office/drawing/2010/slicer" name="Full State Name"/>
            </a:graphicData>
          </a:graphic>
        </xdr:graphicFrame>
      </mc:Choice>
      <mc:Fallback xmlns="">
        <xdr:sp macro="" textlink="">
          <xdr:nvSpPr>
            <xdr:cNvPr id="0" name=""/>
            <xdr:cNvSpPr>
              <a:spLocks noTextEdit="1"/>
            </xdr:cNvSpPr>
          </xdr:nvSpPr>
          <xdr:spPr>
            <a:xfrm>
              <a:off x="7543800" y="1009650"/>
              <a:ext cx="1828800" cy="266700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11</xdr:row>
      <xdr:rowOff>138112</xdr:rowOff>
    </xdr:from>
    <xdr:to>
      <xdr:col>2</xdr:col>
      <xdr:colOff>457200</xdr:colOff>
      <xdr:row>22</xdr:row>
      <xdr:rowOff>57150</xdr:rowOff>
    </xdr:to>
    <xdr:graphicFrame macro="">
      <xdr:nvGraphicFramePr>
        <xdr:cNvPr id="5" name="Chart 4">
          <a:extLst>
            <a:ext uri="{FF2B5EF4-FFF2-40B4-BE49-F238E27FC236}">
              <a16:creationId xmlns:a16="http://schemas.microsoft.com/office/drawing/2014/main" id="{3B38B8F1-AB91-02DD-96EB-267819576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12</xdr:row>
      <xdr:rowOff>109537</xdr:rowOff>
    </xdr:from>
    <xdr:to>
      <xdr:col>6</xdr:col>
      <xdr:colOff>142875</xdr:colOff>
      <xdr:row>22</xdr:row>
      <xdr:rowOff>28575</xdr:rowOff>
    </xdr:to>
    <xdr:graphicFrame macro="">
      <xdr:nvGraphicFramePr>
        <xdr:cNvPr id="7" name="Chart 6">
          <a:extLst>
            <a:ext uri="{FF2B5EF4-FFF2-40B4-BE49-F238E27FC236}">
              <a16:creationId xmlns:a16="http://schemas.microsoft.com/office/drawing/2014/main" id="{8677EA3B-541B-038A-88B9-97CCB650F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238125</xdr:colOff>
      <xdr:row>35</xdr:row>
      <xdr:rowOff>138112</xdr:rowOff>
    </xdr:from>
    <xdr:to>
      <xdr:col>5</xdr:col>
      <xdr:colOff>590550</xdr:colOff>
      <xdr:row>46</xdr:row>
      <xdr:rowOff>114300</xdr:rowOff>
    </xdr:to>
    <xdr:graphicFrame macro="">
      <xdr:nvGraphicFramePr>
        <xdr:cNvPr id="8" name="Chart 7">
          <a:extLst>
            <a:ext uri="{FF2B5EF4-FFF2-40B4-BE49-F238E27FC236}">
              <a16:creationId xmlns:a16="http://schemas.microsoft.com/office/drawing/2014/main" id="{0961E002-00B6-5954-F5A9-CE0583B18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iek Skrzyp" refreshedDate="46058.925711226853" createdVersion="8" refreshedVersion="8" minRefreshableVersion="3" recordCount="603" xr:uid="{66CCB737-11CC-43A0-82A9-C606F1D518EC}">
  <cacheSource type="worksheet">
    <worksheetSource name="tb_companies"/>
  </cacheSource>
  <cacheFields count="15">
    <cacheField name="rank" numFmtId="0">
      <sharedItems containsSemiMixedTypes="0" containsString="0" containsNumber="1" containsInteger="1" minValue="1" maxValue="604"/>
    </cacheField>
    <cacheField name="Name" numFmtId="0">
      <sharedItems count="4988">
        <s v="Freestar"/>
        <s v="FreightWise"/>
        <s v="Cece's Veggie Co."/>
        <s v="LadyBoss"/>
        <s v="Perpay"/>
        <s v="Cano Health"/>
        <s v="Bear Mattress"/>
        <s v="Connected Solutions Group"/>
        <s v="Providence Healthcare Management"/>
        <s v="NOM"/>
        <s v="NuLeaf Naturals"/>
        <s v="Urgently"/>
        <s v="nutpods"/>
        <s v="YieldStreet"/>
        <s v="MuteSix"/>
        <s v="Anchor Worldwide"/>
        <s v="LendingPoint"/>
        <s v="With Clarity"/>
        <s v="Sonendo"/>
        <s v="Kindred Bravely"/>
        <s v="Tailor Made Compounding"/>
        <s v="SD3IT"/>
        <s v="ConvertKit"/>
        <s v="Printify"/>
        <s v="Awardco"/>
        <s v="Pegasus Optimization Managers"/>
        <s v="FITT Scientific"/>
        <s v="Amherst Madison"/>
        <s v="LumenAd"/>
        <s v="Bendcare"/>
        <s v="The Welfont Companies"/>
        <s v="Skinny Dipped"/>
        <s v="RDI Technologies"/>
        <s v="Limited Run Games"/>
        <s v="SwanLeap"/>
        <s v="Vesta Modular"/>
        <s v="H&amp;C Animal Health"/>
        <s v="Homesnap"/>
        <s v="Paradigm Construction"/>
        <s v="Allata"/>
        <s v="Fanchest"/>
        <s v="Fund That Flip"/>
        <s v="Villaway"/>
        <s v="IQM"/>
        <s v="Home Quality Remodeling"/>
        <s v="Beeswax"/>
        <s v="Netizen"/>
        <s v="phData"/>
        <s v="MDstaffers"/>
        <s v="TalEx"/>
        <s v="Nationwide Mortgage Bankers"/>
        <s v="Podium"/>
        <s v="SIA Solutions"/>
        <s v="QEO Group"/>
        <s v="Dropified"/>
        <s v="Sparx Hockey"/>
        <s v="TrueChoicePack"/>
        <s v="Ooze Wholesale"/>
        <s v="Progyny"/>
        <s v="Pax8"/>
        <s v="Terminus"/>
        <s v="Chomps"/>
        <s v="Rad Power Bikes"/>
        <s v="TradePending"/>
        <s v="West Creek Financial"/>
        <s v="CityLift Parking"/>
        <s v="Associated Veterans"/>
        <s v="Fetch Rewards"/>
        <s v="10X Genomics"/>
        <s v="4th &amp; Heart"/>
        <s v="GreenPrint"/>
        <s v="Sky Marketing Corporation"/>
        <s v="Pendo"/>
        <s v="Core Software Technologies"/>
        <s v="EcoSystems"/>
        <s v="Brickell Men's Products"/>
        <s v="Patton Warehousing"/>
        <s v="SydanTech"/>
        <s v="WT Stevens Construction"/>
        <s v="Wandrd"/>
        <s v="Confidio"/>
        <s v="Dynamic Logistix"/>
        <s v="Asset Panda"/>
        <s v="SeaBay Building Group"/>
        <s v="Blue Fire Leads"/>
        <s v="Loanatik"/>
        <s v="SupportNinja"/>
        <s v="Grove Collaborative"/>
        <s v="Cisoshare"/>
        <s v="DigitalOnUS"/>
        <s v="GForce Life Sciences"/>
        <s v="Capitol Bridge"/>
        <s v="Kentucky Counseling Center"/>
        <s v="Shefit"/>
        <s v="US Mobile"/>
        <s v="Feedonomics"/>
        <s v="Amenity Health"/>
        <s v="Payability"/>
        <s v="Eagle Transport and Logistics"/>
        <s v="ShipBob"/>
        <s v="Powerhome Solar"/>
        <s v="LendingOne"/>
        <s v="OwnBackup"/>
        <s v="Invictus International Consulting"/>
        <s v="Go Energistics"/>
        <s v="Total Expert"/>
        <s v="BuzzyBooth"/>
        <s v="Cognira"/>
        <s v="B3 Group"/>
        <s v="Inspiranza Designs"/>
        <s v="OnesourcePCS"/>
        <s v="Cience Technologies"/>
        <s v="Austin Cryo Ventures"/>
        <s v="Sweet Loren's"/>
        <s v="Copper"/>
        <s v="5 Star Roofing and Restoration"/>
        <s v="DigitalCrafts"/>
        <s v="LoadUp Technologies"/>
        <s v="SkillSet Group"/>
        <s v="Ally Logistics"/>
        <s v="BAMFi"/>
        <s v="Potoo"/>
        <s v="Parsons Xtreme Golf"/>
        <s v="Onfleet"/>
        <s v="PatientPop"/>
        <s v="Gravity IT Resources"/>
        <s v="MedLab International"/>
        <s v="Equity &amp; Help"/>
        <s v="Ridgeline International"/>
        <s v="China Metal Solutions"/>
        <s v="BlueSky Resource Solutions"/>
        <s v="Centauri Health Solutions"/>
        <s v="CellTrade NY"/>
        <s v="Exabeam"/>
        <s v="Kinsmen Group"/>
        <s v="Owens Recovery Science"/>
        <s v="WinIt"/>
        <s v="Techolution"/>
        <s v="Solvix Solutions"/>
        <s v="LoveBug Probiotics"/>
        <s v="Nationwide Pharmaceutical"/>
        <s v="Freedom Forever"/>
        <s v="Alpha Omega Integration"/>
        <s v="Arsenal Strength"/>
        <s v="Capital Brand Group"/>
        <s v="FedWriters"/>
        <s v="Sethmar Transportation"/>
        <s v="Hyperion Partners"/>
        <s v="Arcalea"/>
        <s v="Haga Kommer"/>
        <s v="Waggl"/>
        <s v="Roman Roofing"/>
        <s v="Akumina"/>
        <s v="ShipMonk"/>
        <s v="BrillMedia.co"/>
        <s v="Rocket Insights"/>
        <s v="Tridant Solutions"/>
        <s v="ESC Choice"/>
        <s v="Nugget"/>
        <s v="Octopi Brewing"/>
        <s v="KnowBe4"/>
        <s v="Kinect Solar"/>
        <s v="ComplianceQuest"/>
        <s v="DecisionPoint"/>
        <s v="Bombas"/>
        <s v="Jonas Paul Eyewear"/>
        <s v="Tamimi Pharmacy"/>
        <s v="Ad Hoc"/>
        <s v="Valify"/>
        <s v="Sapper Consulting"/>
        <s v="Privy"/>
        <s v="Scooch"/>
        <s v="Monkedia"/>
        <s v="UPshow"/>
        <s v="CampusLogic"/>
        <s v="PCC Cleaning and Maintenance"/>
        <s v="Quirk Creative"/>
        <s v="Tricopian"/>
        <s v="Efficient Home Services of Florida"/>
        <s v="Fitness Cubed"/>
        <s v="Velox Media"/>
        <s v="1Link Technology"/>
        <s v="Quadrant Resource"/>
        <s v="MyHealth"/>
        <s v="Velocity Global"/>
        <s v="Oseth Group"/>
        <s v="Koia"/>
        <s v="Sifted"/>
        <s v="PRx Performance"/>
        <s v="Universal Yums"/>
        <s v="Bridge Brothers"/>
        <s v="Dynamic Systems Technology"/>
        <s v="Supinf Technologies"/>
        <s v="Davis Cargo"/>
        <s v="Polaris Energy Services"/>
        <s v="SetSchedule"/>
        <s v="L2 Defense"/>
        <s v="Motivosity"/>
        <s v="Advoc8"/>
        <s v="Real Plans"/>
        <s v="Axiom Strategies"/>
        <s v="Midway Staffing"/>
        <s v="Perfect Part"/>
        <s v="Silverline Home Remodeling"/>
        <s v="Maxim Zenwise Opco"/>
        <s v="World Housing Solution"/>
        <s v="City Ventures"/>
        <s v="Web Presence"/>
        <s v="Energy Earth"/>
        <s v="Empowered Electric"/>
        <s v="Bookkeeper Business Launch"/>
        <s v="Noom"/>
        <s v="Zenith Engineers"/>
        <s v="Let's Make A Lead"/>
        <s v="Momentum Solar"/>
        <s v="Radius Networks"/>
        <s v="Fattmerchant"/>
        <s v="Infinium Group"/>
        <s v="Memory.net"/>
        <s v="FactoryPure"/>
        <s v="Untappd"/>
        <s v="MikMak"/>
        <s v="Fusion Recruiting Labs"/>
        <s v="Office Libations"/>
        <s v="Broker Online Exchange"/>
        <s v="ODL Services"/>
        <s v="Platinum Health"/>
        <s v="Avelead"/>
        <s v="CMG-Midwest"/>
        <s v="Quince Orchard Psychotherapy"/>
        <s v="RedShelf"/>
        <s v="TransAmerica Express Logistics"/>
        <s v="Flipcause"/>
        <s v="Simply NUC"/>
        <s v="Virtual Machine Solutions"/>
        <s v="Gateway Genomics"/>
        <s v="Strativia"/>
        <s v="ClockShark"/>
        <s v="TriFold"/>
        <s v="Energy Ogre"/>
        <s v="D. Ott Construction"/>
        <s v="Medisuite"/>
        <s v="MYTA Technologies"/>
        <s v="Deal Partners"/>
        <s v="IES"/>
        <s v="ResiCap"/>
        <s v="Transcend Security Solutions"/>
        <s v="GlobalTex USA"/>
        <s v="Vespa Group"/>
        <s v="Bridgewater Homes"/>
        <s v="Park Financial Group"/>
        <s v="Chronovo"/>
        <s v="Maverick Media Ventures"/>
        <s v="Kortx"/>
        <s v="Bawla Consulting"/>
        <s v="Pawstruck"/>
        <s v="Blue Raven Solar"/>
        <s v="Woom Bikes USA"/>
        <s v="Mixt Solutions"/>
        <s v="ThrivePass"/>
        <s v="Premier Health Solutions"/>
        <s v="Impact Analytics"/>
        <s v="Hemper"/>
        <s v="Intermex"/>
        <s v="PatientBond"/>
        <s v="Ginn Group"/>
        <s v="PANTHERX Rare"/>
        <s v="Factorial Digital"/>
        <s v="T-Rex Solutions"/>
        <s v="Toops"/>
        <s v="InfuseMedia"/>
        <s v="Teachable"/>
        <s v="Squadhelp.com"/>
        <s v="Take2 Consulting"/>
        <s v="Epion Health"/>
        <s v="Gotcha Media Holdings"/>
        <s v="Kyzen Consulting Services"/>
        <s v="CheckedUp"/>
        <s v="Cultivate Advisors"/>
        <s v="Advisors Education"/>
        <s v="Recleim"/>
        <s v="Maddox Industrial Transformer"/>
        <s v="Mako Medical Laboratories"/>
        <s v="Alert Media"/>
        <s v="Southern Veterinary Partners"/>
        <s v="Flexicrew Technical Services"/>
        <s v="Texas Beauty Labs"/>
        <s v="Scientist.com"/>
        <s v="Hennessey Consulting"/>
        <s v="Meleeo"/>
        <s v="SNA International"/>
        <s v="Staymobile"/>
        <s v="Amani Enterprises"/>
        <s v="Privateer IT"/>
        <s v="Discuss.io"/>
        <s v="Dollar Fulfillment"/>
        <s v="Domino Data Lab"/>
        <s v="LYFE Marketing"/>
        <s v="Alivi"/>
        <s v="EETech Media"/>
        <s v="Gravis Law"/>
        <s v="Cousins Logistics"/>
        <s v="Position2"/>
        <s v="BentoBox CMS"/>
        <s v="Symbol Health Solutions"/>
        <s v="Crisp Video Group"/>
        <s v="Sand Cloud"/>
        <s v="Wrapify"/>
        <s v="Iuvo Logistics"/>
        <s v="Group 10 Capital"/>
        <s v="Basemakers"/>
        <s v="Tossware"/>
        <s v="360ia"/>
        <s v="NextGen Leads"/>
        <s v="ColtonCooper"/>
        <s v="HANDLE"/>
        <s v="BestSelf Ventures"/>
        <s v="TazKai"/>
        <s v="Cumulus Networks"/>
        <s v="OppLoans"/>
        <s v="Common Thread Collective"/>
        <s v="Cloudbeds"/>
        <s v="Vested Metals International"/>
        <s v="Platt Cheema Richmond"/>
        <s v="Revelry"/>
        <s v="QOS Networks"/>
        <s v="Koddi"/>
        <s v="Change Media Group"/>
        <s v="BLDG-25"/>
        <s v="Dropoff"/>
        <s v="Modavate"/>
        <s v="Arcus Financial Intelligence"/>
        <s v="Digital Resource"/>
        <s v="Girikon"/>
        <s v="Liberty Rent Guarantee"/>
        <s v="Inflowlogistics"/>
        <s v="Pymetrics"/>
        <s v="Madewell Construction"/>
        <s v="Power Target"/>
        <s v="Bidwise"/>
        <s v="Wavicle Data Solutions"/>
        <s v="Red Seat Ventures"/>
        <s v="reCommerce"/>
        <s v="Design Pickle"/>
        <s v="Hyperice"/>
        <s v="Synfiny Advisors"/>
        <s v="MNS1 Express"/>
        <s v="TomboyX"/>
        <s v="ShopPad"/>
        <s v="Carta"/>
        <s v="SnackNation"/>
        <s v="Staffing as a Mission"/>
        <s v="Azure Knowledge"/>
        <s v="Element78 Partners"/>
        <s v="inVibe Labs"/>
        <s v="SimpleNexus"/>
        <s v="The Language Group"/>
        <s v="Green Bits"/>
        <s v="M2M In Motion"/>
        <s v="AdFicient"/>
        <s v="Raddish Kids"/>
        <s v="Titan Mechanical"/>
        <s v="NanaMacs Clothing"/>
        <s v="Perimeter Security Partners"/>
        <s v="LYNC Logistics"/>
        <s v="Cox Residential"/>
        <s v="Stealth-ISS Group"/>
        <s v="Seeq Corporation"/>
        <s v="M7 Services"/>
        <s v="Healthy Human"/>
        <s v="Professional Hair Labs"/>
        <s v="Strategic Alliance Business Group"/>
        <s v="Synup"/>
        <s v="First Stop Health"/>
        <s v="BoxyCharm"/>
        <s v="WearMe Pro"/>
        <s v="Vidoori"/>
        <s v="Stackify"/>
        <s v="XY - The Persistent Company"/>
        <s v="Dental Intelligence"/>
        <s v="PowerInbox"/>
        <s v="SimpleTire"/>
        <s v="Creative State Marketing"/>
        <s v="UrbanStems"/>
        <s v="GCubed Enterprises"/>
        <s v="VideoAmp"/>
        <s v="SweetScience Marketing"/>
        <s v="Rented.com"/>
        <s v="Lakarya"/>
        <s v="Cosset"/>
        <s v="Tomahawk Strategic Solutions"/>
        <s v="Della Infotech"/>
        <s v="Realvolve"/>
        <s v="Edvenswa Tech"/>
        <s v="UpNest"/>
        <s v="Double Wood"/>
        <s v="Van Law Firm"/>
        <s v="Mobile Text Alerts"/>
        <s v="Apogee Stores"/>
        <s v="New Credit America"/>
        <s v="Bore Tech Utilities"/>
        <s v="Anna Marie Events"/>
        <s v="Pattern"/>
        <s v="Advanced Operations Partners"/>
        <s v="Newline Interactive"/>
        <s v="Groove.co"/>
        <s v="G2"/>
        <s v="Lean Staffing Solutions"/>
        <s v="Vigene Biosciences"/>
        <s v="Pitisci &amp; Associates"/>
        <s v="CouponCause.com"/>
        <s v="Arrive Logistics"/>
        <s v="Integrity Cargo Solutions"/>
        <s v="Wireless Everywhere"/>
        <s v="AudienceX"/>
        <s v="SOCi"/>
        <s v="Advanced Architectural Products"/>
        <s v="Proper Media"/>
        <s v="Dispatch Technologies"/>
        <s v="Kisi Security"/>
        <s v="BridgeTech"/>
        <s v="Boomerang Transportation"/>
        <s v="E&amp;M Technologies"/>
        <s v="Advertise Purple"/>
        <s v="Spike Brewing Equipment"/>
        <s v="Pathway Vet Alliance"/>
        <s v="Bailey's Blossoms"/>
        <s v="Simple Technology Solutions"/>
        <s v="SkyRun Breckenridge"/>
        <s v="Clean Juice"/>
        <s v="InGenius Prep"/>
        <s v="Aysco Technology Integration"/>
        <s v="Kenna Security"/>
        <s v="CarLotz"/>
        <s v="Assured Consulting Solutions"/>
        <s v="The Garrett Companies"/>
        <s v="Era Transport"/>
        <s v="M-Communications"/>
        <s v="ClickFunnels"/>
        <s v="BCM London"/>
        <s v="Uptime"/>
        <s v="Competitive Range Solutions"/>
        <s v="Real Broker"/>
        <s v="Buhler Commercial"/>
        <s v="Trailhead Marketing"/>
        <s v="Factor 75"/>
        <s v="Algolia"/>
        <s v="Midway Dental Supply"/>
        <s v="eAudit"/>
        <s v="Panagora Group"/>
        <s v="MCI"/>
        <s v="Abrams Realty"/>
        <s v="Pelican Waste &amp; Debris"/>
        <s v="Gametime"/>
        <s v="Morning Lavender"/>
        <s v="Keypath Education"/>
        <s v="Thigo International"/>
        <s v="Saved By The Dress"/>
        <s v="Starc Systems"/>
        <s v="Angel Heart Boutique"/>
        <s v="ARM Consulting"/>
        <s v="Chacka Marketing"/>
        <s v="MapleMark Bank"/>
        <s v="Vonlane"/>
        <s v="Prosper Group"/>
        <s v="Point3 Security"/>
        <s v="Directive"/>
        <s v="Alkami Technology"/>
        <s v="QuickBox Fulfillment"/>
        <s v="SandsRx"/>
        <s v="The Building People"/>
        <s v="The SnapBar"/>
        <s v="FitSmallBusiness.com"/>
        <s v="Powerful Professionals"/>
        <s v="Probo Medical"/>
        <s v="Spotio"/>
        <s v="Prime Meridian Capital Management"/>
        <s v="Fox Dealer"/>
        <s v="Kubikware"/>
        <s v="Rocket Referrals"/>
        <s v="Bonusly"/>
        <s v="Trident Transport"/>
        <s v="The Fila Group"/>
        <s v="Seaman's Beverage and Logistics"/>
        <s v="ServiceTitan"/>
        <s v="BlueWave Solar"/>
        <s v="Resource Financial"/>
        <s v="Saprex"/>
        <s v="Simple Energy"/>
        <s v="New Energy Equity"/>
        <s v="Vedder Holsters"/>
        <s v="FloWater"/>
        <s v="Vaughan Buckley Construction"/>
        <s v="Acacia Counseling &amp; Wellness"/>
        <s v="Every Door Real Estate"/>
        <s v="Thought Logic Consulting"/>
        <s v="PBG Consulting"/>
        <s v="Sarvicus"/>
        <s v="Universal Processing"/>
        <s v="The Apella Group"/>
        <s v="Lemonaid Health"/>
        <s v="Coulee Techlink"/>
        <s v="Transform Group"/>
        <s v="JP Ecommerce"/>
        <s v="Hardcore Fitness Boot Camp"/>
        <s v="cellhelmet"/>
        <s v="Conga"/>
        <s v="Blast Tech"/>
        <s v="LoanPaymentPro"/>
        <s v="Admera Health"/>
        <s v="Professional Realty Services International"/>
        <s v="Social Sparkling Wine"/>
        <s v="TicketSauce.com"/>
        <s v="ProSource360 Consulting Services"/>
        <s v="Spinnaker Consulting Group"/>
        <s v="Maxx Builders and Designers"/>
        <s v="Vape Guys"/>
        <s v="Y-Tech"/>
        <s v="Silver Trucking"/>
        <s v="Linux Academy"/>
        <s v="Spartan Armor Systems"/>
        <s v="Mainsail Group"/>
        <s v="Baybridge Pharmacy Corp"/>
        <s v="Quantico Tactical"/>
        <s v="Knewsales Group"/>
        <s v="Beauty Bakerie Cosmetics Brand"/>
        <s v="Two Bulls"/>
        <s v="Nickel &amp; Suede"/>
        <s v="Teknismart Solutions"/>
        <s v="Sprout School Supplies"/>
        <s v="Kuli Kuli Foods"/>
        <s v="LifeHealth"/>
        <s v="Peaxy"/>
        <s v="Private Label Extensions"/>
        <s v="Retail Service Systems"/>
        <s v="Icon Building Supplies"/>
        <s v="Prime Technical Services"/>
        <s v="Hyper Networks"/>
        <s v="Out of the Box Technology"/>
        <s v="Aldevra"/>
        <s v="Native Digital"/>
        <s v="Karya Property Management"/>
        <s v="Full Circle Brands"/>
        <s v="Harbor Compliance"/>
        <s v="LEDMyplace.com"/>
        <s v="NEXgistics"/>
        <s v="Concourse Federal Group"/>
        <s v="Elite Insurance Partners"/>
        <s v="SBGA"/>
        <s v="Pentwater Furnishing"/>
        <s v="BayInfotech"/>
        <s v="XY Planning Network"/>
        <s v="Gymguyz"/>
        <s v="Steward Construction Services"/>
        <s v="Fusion"/>
        <s v="PositivePsyche.Biz Corp"/>
        <s v="GridGain Systems"/>
        <s v="Levvel"/>
        <s v="Employdrive"/>
        <s v="BairesDev"/>
        <s v="TripleLift"/>
        <s v="Digital Hyve"/>
        <s v="Printful"/>
        <s v="Ashley Black Guru"/>
        <s v="Phoenix Operations Group"/>
        <s v="Talk IQ Media"/>
        <s v="GovernmentCIO"/>
        <s v="Draken International"/>
        <s v="Tierra Encantada"/>
        <s v="The Digital Ring"/>
        <s v="FNEX"/>
        <s v="Elite Transit Solutions"/>
        <s v="Nexus Pharmaceuticals"/>
        <s v="Dynamo Technologies"/>
        <s v="Dignari"/>
        <s v="All-Pro Electric"/>
        <s v="Alphacore"/>
        <s v="Breakthrough Physical Therapy Marketing"/>
        <s v="Kingsview Partners"/>
        <s v="GlobalPro Recovery"/>
        <s v="FreeAlliance.com"/>
        <s v="HealthCare.com"/>
        <s v="Ansley Operating Holding Company"/>
        <s v="Blue Marble Payroll"/>
        <s v="Green Powered Technology"/>
        <s v="Conversion Logix"/>
        <s v="Jay Morrison Academy"/>
        <s v="Anson Belt"/>
        <s v="Braeden Engineering"/>
        <s v="Social Fulcrum"/>
        <s v="Trinity Technology Partners"/>
        <s v="Vetnique Pet Products"/>
        <s v="JBK Wellness Labs"/>
        <s v="cloudIT"/>
        <s v="The Shredder + MedShred"/>
        <s v="Tranont"/>
        <s v="Nyla Technology Solutions"/>
        <s v="Azazie"/>
        <s v="Vuesol Technologies"/>
        <s v="Black Spectacles"/>
        <s v="Tractleads"/>
        <s v="HealthFlex Home Health Services"/>
        <s v="Fieldwork Brewing Company"/>
        <s v="Carolin Soldo Coaching &amp; Events" u="1"/>
        <s v="Tier4 Group" u="1"/>
        <s v="Chloeta" u="1"/>
        <s v="Enshored" u="1"/>
        <s v="Ingrain Construction" u="1"/>
        <s v="eduPresent" u="1"/>
        <s v="Sendlane" u="1"/>
        <s v="Simply Nutrition" u="1"/>
        <s v="MobiChord" u="1"/>
        <s v="Interim HealthCare" u="1"/>
        <s v="Fundera" u="1"/>
        <s v="AdvisoryCloud" u="1"/>
        <s v="Merchology" u="1"/>
        <s v="Cintel" u="1"/>
        <s v="Fletcher Construction" u="1"/>
        <s v="TechAnax" u="1"/>
        <s v="Green Street Power Partners" u="1"/>
        <s v="Evergreen Market" u="1"/>
        <s v="Mohawk Group Holdings" u="1"/>
        <s v="Nav" u="1"/>
        <s v="ERP Global" u="1"/>
        <s v="Saligram Systems" u="1"/>
        <s v="Smart Roofs Solar" u="1"/>
        <s v="BOS Security" u="1"/>
        <s v="Bustle Digital Group" u="1"/>
        <s v="Alchemy 365" u="1"/>
        <s v="WheelHouse Solutions" u="1"/>
        <s v="Pearson Smith Realty" u="1"/>
        <s v="Zennify" u="1"/>
        <s v="5Q Partners" u="1"/>
        <s v="Vcheck Global" u="1"/>
        <s v="Zolli Candy" u="1"/>
        <s v="Innowave Marketing Group" u="1"/>
        <s v="CMR Construction &amp; Roofing" u="1"/>
        <s v="Strategic Digital Services" u="1"/>
        <s v="Kettlebell Kings" u="1"/>
        <s v="Rebbl" u="1"/>
        <s v="Thinx" u="1"/>
        <s v="BottleKeeper" u="1"/>
        <s v="Standard Freight" u="1"/>
        <s v="BMNT Partners" u="1"/>
        <s v="Driftless Glen Distillery" u="1"/>
        <s v="CustomPictureFrames.com" u="1"/>
        <s v="Agillitics" u="1"/>
        <s v="Nivid Infotech" u="1"/>
        <s v="UrbanBCN Worldwide" u="1"/>
        <s v="Maggie Louise Confections" u="1"/>
        <s v="Willy's" u="1"/>
        <s v="Quicksilver Scientific" u="1"/>
        <s v="Directional Services" u="1"/>
        <s v="NexusTek" u="1"/>
        <s v="NativePath" u="1"/>
        <s v="Eagle Pipe" u="1"/>
        <s v="o9 Solutions" u="1"/>
        <s v="SH Mechanical" u="1"/>
        <s v="GeistM" u="1"/>
        <s v="Coherent Staffing Solutions" u="1"/>
        <s v="GrandView Aviation" u="1"/>
        <s v="CTW Group" u="1"/>
        <s v="ORC Utility &amp; Infrastructure Land Services" u="1"/>
        <s v="Satelles" u="1"/>
        <s v="Apex Dental Partners" u="1"/>
        <s v="OneStream Software" u="1"/>
        <s v="National Insurance Consulting Group" u="1"/>
        <s v="Solvegy" u="1"/>
        <s v="Spruce InfoTech" u="1"/>
        <s v="Smart City Locating" u="1"/>
        <s v="The Cabana Group" u="1"/>
        <s v="Ideal Concepts" u="1"/>
        <s v="VividCortex" u="1"/>
        <s v="Green Threads" u="1"/>
        <s v="C Evans Consulting" u="1"/>
        <s v="Village Realty" u="1"/>
        <s v="Be Social" u="1"/>
        <s v="Incorporate Massage" u="1"/>
        <s v="SHR Consulting Group" u="1"/>
        <s v="Insticator" u="1"/>
        <s v="Ardent Pest Control" u="1"/>
        <s v="Relief Factor" u="1"/>
        <s v="Aura Financial Corporation" u="1"/>
        <s v="Emerald Pools and Spas" u="1"/>
        <s v="Vydia" u="1"/>
        <s v="Emergent Method" u="1"/>
        <s v="MBCO Engineering." u="1"/>
        <s v="ConcealFab Corporation" u="1"/>
        <s v="CapStone Technologies" u="1"/>
        <s v="Evolution Event Solutions" u="1"/>
        <s v="Patient Care Coordination" u="1"/>
        <s v="Sun Mountain" u="1"/>
        <s v="ChromebookParts.com" u="1"/>
        <s v="Ad Victoriam Solutions" u="1"/>
        <s v="Acliviti" u="1"/>
        <s v="Talent Solvers" u="1"/>
        <s v="Retention Science (ReSci)" u="1"/>
        <s v="Hotel Rehabs" u="1"/>
        <s v="Ibotta" u="1"/>
        <s v="Foundation Software Group" u="1"/>
        <s v="CanSource" u="1"/>
        <s v="MedTrust Medical Transport" u="1"/>
        <s v="123 Home Care" u="1"/>
        <s v="Spark.Orange" u="1"/>
        <s v="LeaseAccelerator" u="1"/>
        <s v="Zoom Video Communications" u="1"/>
        <s v="Xcaliber Solutions" u="1"/>
        <s v="Piano" u="1"/>
        <s v="PresPro Homes" u="1"/>
        <s v="Kruze Consulting" u="1"/>
        <s v="The Auto Cave" u="1"/>
        <s v="Funworks" u="1"/>
        <s v="Sevan Multi-Site Solutions" u="1"/>
        <s v="Qubole" u="1"/>
        <s v="Gather Workspaces" u="1"/>
        <s v="Ohio Cashflow" u="1"/>
        <s v="VSA" u="1"/>
        <s v="Stadiumred Group" u="1"/>
        <s v="Acuity Surgical" u="1"/>
        <s v="Evans Industrial" u="1"/>
        <s v="Mi-One Brands" u="1"/>
        <s v="Gather" u="1"/>
        <s v="Option Alpha" u="1"/>
        <s v="FP Property Restoration" u="1"/>
        <s v="Y7 Studio" u="1"/>
        <s v="Empire Flippers" u="1"/>
        <s v="Crossflow Technologies" u="1"/>
        <s v="Transworld Business Advisors - Rocky Mountain" u="1"/>
        <s v="Steward Partners Global Advisory" u="1"/>
        <s v="AppsFlyer" u="1"/>
        <s v="Ruby Has Fulfillment" u="1"/>
        <s v="Freed Marcroft" u="1"/>
        <s v="Broadleaf" u="1"/>
        <s v="Reduce" u="1"/>
        <s v="My Home Group Real Estate" u="1"/>
        <s v="100% Chiropractic" u="1"/>
        <s v="Media Creek" u="1"/>
        <s v="Snap! Mobile" u="1"/>
        <s v="Avionos" u="1"/>
        <s v="STRATIS IoT" u="1"/>
        <s v="HookBang" u="1"/>
        <s v="ExcelHealth" u="1"/>
        <s v="Blue Air Training" u="1"/>
        <s v="Katydid" u="1"/>
        <s v="JLE Industries" u="1"/>
        <s v="Kipsu" u="1"/>
        <s v="Urban Capital Group" u="1"/>
        <s v="Garage Champs" u="1"/>
        <s v="Epic Personnel Partners" u="1"/>
        <s v="Wayne Contracting" u="1"/>
        <s v="K2 Dental Arts" u="1"/>
        <s v="V3Gate" u="1"/>
        <s v="Visiture" u="1"/>
        <s v="RevUnit" u="1"/>
        <s v="CME Lending Group" u="1"/>
        <s v="Cira Infotech" u="1"/>
        <s v="Tallgrass Freight" u="1"/>
        <s v="Anchor Loans" u="1"/>
        <s v="Springbot" u="1"/>
        <s v="Forward Financing" u="1"/>
        <s v="Weave Communications" u="1"/>
        <s v="Dr. Squatch" u="1"/>
        <s v="Dagger" u="1"/>
        <s v="Stukent" u="1"/>
        <s v="Revived Exteriors" u="1"/>
        <s v="Ienjoy" u="1"/>
        <s v="The Hiring Group" u="1"/>
        <s v="Sehlke Consulting" u="1"/>
        <s v="Intellectsoft" u="1"/>
        <s v="Axiologic Solutions" u="1"/>
        <s v="Skar Audio" u="1"/>
        <s v="Amerikas" u="1"/>
        <s v="Clutch" u="1"/>
        <s v="The Garage Group" u="1"/>
        <s v="NewsWatch" u="1"/>
        <s v="Warrior Media" u="1"/>
        <s v="Unified Building Group" u="1"/>
        <s v="Team Adhoc" u="1"/>
        <s v="Dynamo" u="1"/>
        <s v="Kaimetrix" u="1"/>
        <s v="DSD Merchandisers" u="1"/>
        <s v="Synergy Home" u="1"/>
        <s v="RPM" u="1"/>
        <s v="AdCellerant" u="1"/>
        <s v="Branded Group" u="1"/>
        <s v="US Business Funding" u="1"/>
        <s v="ShipEX" u="1"/>
        <s v="The Rx Advocates" u="1"/>
        <s v="Octane Energy" u="1"/>
        <s v="The Leads Network" u="1"/>
        <s v="TruSource Consulting Group" u="1"/>
        <s v="JP Services" u="1"/>
        <s v="Blake Willson Group" u="1"/>
        <s v="CloudQ" u="1"/>
        <s v="Natix" u="1"/>
        <s v="Indev" u="1"/>
        <s v="TorkLaw" u="1"/>
        <s v="The Linked Strategies Group" u="1"/>
        <s v="Health Recovery Solutions" u="1"/>
        <s v="Foresight Wealth Management" u="1"/>
        <s v="Ingram Fire Protection" u="1"/>
        <s v="Spatial Front" u="1"/>
        <s v="Bean Box" u="1"/>
        <s v="Fifth Wheel Freight" u="1"/>
        <s v="US Cargo Link" u="1"/>
        <s v="IBEX IT Business Experts" u="1"/>
        <s v="Yoga International" u="1"/>
        <s v="Health and Commerce" u="1"/>
        <s v="Beauty by Earth" u="1"/>
        <s v="SupplyKick" u="1"/>
        <s v="Grillaholics" u="1"/>
        <s v="Zamp HR" u="1"/>
        <s v="Shepherd Search Group" u="1"/>
        <s v="BeauTech Power Systems" u="1"/>
        <s v="Proximity Learning" u="1"/>
        <s v="Olly" u="1"/>
        <s v="CGC Consulting" u="1"/>
        <s v="FyberCom" u="1"/>
        <s v="Ametros" u="1"/>
        <s v="Greek House" u="1"/>
        <s v="The Ricciardi Group" u="1"/>
        <s v="Blackstone Fire Control" u="1"/>
        <s v="Levementum" u="1"/>
        <s v="Key Tower" u="1"/>
        <s v="Kids in the Game" u="1"/>
        <s v="Hubb" u="1"/>
        <s v="Body del Sol Medical Spa" u="1"/>
        <s v="Xero Shoes" u="1"/>
        <s v="Bluecore" u="1"/>
        <s v="Valiant Residential" u="1"/>
        <s v="Flavors15" u="1"/>
        <s v="Passport" u="1"/>
        <s v="Integrative Physiatry" u="1"/>
        <s v="IPfolio" u="1"/>
        <s v="Southern Designs" u="1"/>
        <s v="Sabio Mobile" u="1"/>
        <s v="Tellenger" u="1"/>
        <s v="Kodiak Cakes" u="1"/>
        <s v="US Aluminum Services" u="1"/>
        <s v="Trellis" u="1"/>
        <s v="Sgt. Clean's Car Wash" u="1"/>
        <s v="CoSchedule" u="1"/>
        <s v="Merit321, Launching Careers" u="1"/>
        <s v="Freight Right Global Logistics" u="1"/>
        <s v="HQSoftware" u="1"/>
        <s v="Bond Collective" u="1"/>
        <s v="Boll &amp; Branch" u="1"/>
        <s v="ApplePie Capital" u="1"/>
        <s v="Carroll Organization" u="1"/>
        <s v="TESCHGlobal" u="1"/>
        <s v="ZeroBounce" u="1"/>
        <s v="Hubstaff" u="1"/>
        <s v="SEI-Chicago" u="1"/>
        <s v="Greenix Holdings" u="1"/>
        <s v="Flywheel" u="1"/>
        <s v="Clear Touch" u="1"/>
        <s v="Critical Project Services" u="1"/>
        <s v="Kaizen Media Group" u="1"/>
        <s v="Lyon Stahl Investment Real Estate" u="1"/>
        <s v="Wellbots" u="1"/>
        <s v="HomeWorks Energy" u="1"/>
        <s v="The Agency Texas" u="1"/>
        <s v="Hireology" u="1"/>
        <s v="Omaze" u="1"/>
        <s v="Billy Gene Is Marketing" u="1"/>
        <s v="Baseballism" u="1"/>
        <s v="Changeis" u="1"/>
        <s v="F3 MFG" u="1"/>
        <s v="Gimbal" u="1"/>
        <s v="Universal Windows Direct" u="1"/>
        <s v="CFOL International" u="1"/>
        <s v="VRC Metal Systems" u="1"/>
        <s v="Marketplace Ops" u="1"/>
        <s v="Walk West" u="1"/>
        <s v="Marketopia" u="1"/>
        <s v="B&amp;B Beverage Management" u="1"/>
        <s v="Zip Moving and Storage" u="1"/>
        <s v="Website Closers" u="1"/>
        <s v="ConversionPoint Technologies" u="1"/>
        <s v="Parrish and Partners" u="1"/>
        <s v="OH Partners" u="1"/>
        <s v="Stratus Video" u="1"/>
        <s v="Etegra" u="1"/>
        <s v="Harper Scott" u="1"/>
        <s v="Crossfire Sound Productions" u="1"/>
        <s v="FireDisc Cookers" u="1"/>
        <s v="Softrams" u="1"/>
        <s v="MDsave" u="1"/>
        <s v="Skynet Healthcare Technologies" u="1"/>
        <s v="Peridot Solutions" u="1"/>
        <s v="Dock Street Trading" u="1"/>
        <s v="Anchour" u="1"/>
        <s v="Hawke Media" u="1"/>
        <s v="Blue Canyon Technologies" u="1"/>
        <s v="Sojourn Solutions" u="1"/>
        <s v="MzeroA.com" u="1"/>
        <s v="Fast Slow Motion" u="1"/>
        <s v="American Business Brokers" u="1"/>
        <s v="The Retail Outsource" u="1"/>
        <s v="ProcureIT Network" u="1"/>
        <s v="Orion Consulting Group" u="1"/>
        <s v="Proforma Springboard Promotions" u="1"/>
        <s v="CentralReach" u="1"/>
        <s v="LMK Clinical Research Consulting" u="1"/>
        <s v="MessageWrap" u="1"/>
        <s v="The Pet Loss Center" u="1"/>
        <s v="Health Union" u="1"/>
        <s v="Kartago America" u="1"/>
        <s v="CardFlight" u="1"/>
        <s v="Clientserver Technology Solutions" u="1"/>
        <s v="DLP Real Estate Capital" u="1"/>
        <s v="Friendly Home Services" u="1"/>
        <s v="Zoup! Specialty Products" u="1"/>
        <s v="EngagedIN" u="1"/>
        <s v="RagingBull.com" u="1"/>
        <s v="Holzer Resnick Contracting" u="1"/>
        <s v="Wishlist Rewards" u="1"/>
        <s v="Edge Logistics" u="1"/>
        <s v="Visible Supply Chain Management" u="1"/>
        <s v="Skynet Integrations" u="1"/>
        <s v="Luxe RV" u="1"/>
        <s v="Burgess Civil" u="1"/>
        <s v="Chad T. Wilson Law Firm" u="1"/>
        <s v="FlexPrint Managed Print Solutions" u="1"/>
        <s v="Norada Real Estate Investments" u="1"/>
        <s v="Excel Impact" u="1"/>
        <s v="Kord Technologies" u="1"/>
        <s v="Eva Garland Consulting" u="1"/>
        <s v="Brivity" u="1"/>
        <s v="Natural Force" u="1"/>
        <s v="Wright Energy Partners" u="1"/>
        <s v="Tech Talent South" u="1"/>
        <s v="FHE" u="1"/>
        <s v="Beer Home Team" u="1"/>
        <s v="Global Soft Systems" u="1"/>
        <s v="Ecomitize" u="1"/>
        <s v="Chenal Family Therapy" u="1"/>
        <s v="Grand Canyon Gas Logs" u="1"/>
        <s v="VOLO" u="1"/>
        <s v="Trupet" u="1"/>
        <s v="Wafts Solutions" u="1"/>
        <s v="Freedom Real Estate" u="1"/>
        <s v="Volt Athletics" u="1"/>
        <s v="Bluewater Media" u="1"/>
        <s v="RKB Handyman Services" u="1"/>
        <s v="E Contractors" u="1"/>
        <s v="RIVS" u="1"/>
        <s v="Motus" u="1"/>
        <s v="MJ Seats" u="1"/>
        <s v="Inter-Op" u="1"/>
        <s v="Elevate Staffing" u="1"/>
        <s v="Coffee Meets Bagel" u="1"/>
        <s v="Streamline Marketing" u="1"/>
        <s v="GEN-Y Hitch" u="1"/>
        <s v="Reverb.com" u="1"/>
        <s v="Tipping Point Solutions" u="1"/>
        <s v="Need/Want" u="1"/>
        <s v="Socialfly" u="1"/>
        <s v="Everyware" u="1"/>
        <s v="Trash Butler" u="1"/>
        <s v="Channel Partners Capital" u="1"/>
        <s v="Savan Group" u="1"/>
        <s v="Onit" u="1"/>
        <s v="Better.com" u="1"/>
        <s v="Skuid" u="1"/>
        <s v="Forcura" u="1"/>
        <s v="BarnAllen Technologies" u="1"/>
        <s v="DMB Financial" u="1"/>
        <s v="Audantic" u="1"/>
        <s v="Suite Management Franchising" u="1"/>
        <s v="The Hoth" u="1"/>
        <s v="360 Energy Solutions" u="1"/>
        <s v="Decode Digital Marketing" u="1"/>
        <s v="Apetan Consulting" u="1"/>
        <s v="Virtue Capital Management" u="1"/>
        <s v="Harts Servcies" u="1"/>
        <s v="Ridge Wallet" u="1"/>
        <s v="American Print Consultants" u="1"/>
        <s v="Alley" u="1"/>
        <s v="Votto Vines Importing" u="1"/>
        <s v="Scott, Vicknair, Hair &amp; Checki" u="1"/>
        <s v="3D Solar" u="1"/>
        <s v="Vessel FWP" u="1"/>
        <s v="Advanced Computer Solutions Group" u="1"/>
        <s v="Choozle" u="1"/>
        <s v="Ease Logistics" u="1"/>
        <s v="Crisp Marketing" u="1"/>
        <s v="Darn Good Yarn" u="1"/>
        <s v="Beemac" u="1"/>
        <s v="Preferred Home Services" u="1"/>
        <s v="Ciconix" u="1"/>
        <s v="Atlanta Office Technologies" u="1"/>
        <s v="Seek Business Capital" u="1"/>
        <s v="Your Business Solutions" u="1"/>
        <s v="Nomatic" u="1"/>
        <s v="Farmgirl Flowers" u="1"/>
        <s v="Bombora" u="1"/>
        <s v="Frugal Flippers" u="1"/>
        <s v="SUMO Communications" u="1"/>
        <s v="Home View Technologies" u="1"/>
        <s v="CloudHesive" u="1"/>
        <s v="Braviant Holdings" u="1"/>
        <s v="ProSomnus Sleep Technologies" u="1"/>
        <s v="JP and Associates Realtors" u="1"/>
        <s v="23rd Group" u="1"/>
        <s v="Penji" u="1"/>
        <s v="FE International" u="1"/>
        <s v="Tredence" u="1"/>
        <s v="APS Building Services" u="1"/>
        <s v="Courier Distribution Systems" u="1"/>
        <s v="Energy Toolbase" u="1"/>
        <s v="Pathfinder Consultants" u="1"/>
        <s v="Mission Critical Facilities International" u="1"/>
        <s v="Xavier Creative House" u="1"/>
        <s v="FastExpert" u="1"/>
        <s v="Beverly Hills Teddy Bear" u="1"/>
        <s v="MOD Pizza" u="1"/>
        <s v="Chandlee and Sons Construction" u="1"/>
        <s v="Cherry Blow Dry Bar" u="1"/>
        <s v="Applied Development" u="1"/>
        <s v="Definitive Healthcare" u="1"/>
        <s v="Reliance Partners" u="1"/>
        <s v="Lief Labs" u="1"/>
        <s v="Inseev Interactive" u="1"/>
        <s v="Leeward Business Advisors" u="1"/>
        <s v="E. Bouchard Company" u="1"/>
        <s v="Pensionmark Financial Group" u="1"/>
        <s v="ShalePro Energy Services" u="1"/>
        <s v="Senior Healthcare Direct" u="1"/>
        <s v="ZippyPaws" u="1"/>
        <s v="Stay Alfred" u="1"/>
        <s v="Dropps" u="1"/>
        <s v="Fresh Consulting" u="1"/>
        <s v="NimbeLink" u="1"/>
        <s v="Century Support Services" u="1"/>
        <s v="FrontRunnerHC" u="1"/>
        <s v="United Carports" u="1"/>
        <s v="Nexxt Gen" u="1"/>
        <s v="Terradyne Engineering" u="1"/>
        <s v="Utah Global Transportation Management Solutions" u="1"/>
        <s v="PM Consulting Group" u="1"/>
        <s v="Greenhouse Software" u="1"/>
        <s v="Amazing Lash Studio" u="1"/>
        <s v="RevolutionParts" u="1"/>
        <s v="Metropolitan interactive" u="1"/>
        <s v="A1 Garage Door Service and Repair" u="1"/>
        <s v="Triumph Construction" u="1"/>
        <s v="Verde Solutions" u="1"/>
        <s v="High Road Craft Ice Cream" u="1"/>
        <s v="World Services" u="1"/>
        <s v="Fire &amp; Brilliance" u="1"/>
        <s v="Shockoe.com" u="1"/>
        <s v="Zaniboni Lighting" u="1"/>
        <s v="Swenson He" u="1"/>
        <s v="GreyCastle Security" u="1"/>
        <s v="Drive Social Media" u="1"/>
        <s v="Phoenix Logistics" u="1"/>
        <s v="TrueIT" u="1"/>
        <s v="Embark" u="1"/>
        <s v="Mynt Systems" u="1"/>
        <s v="Breeze IT" u="1"/>
        <s v="Sustainable Comfort" u="1"/>
        <s v="TGW Company" u="1"/>
        <s v="Johnson Roofing &amp; Restoration" u="1"/>
        <s v="Street Smart Transmission" u="1"/>
        <s v="Bestica" u="1"/>
        <s v="Raymer Oil Company" u="1"/>
        <s v="TickPick" u="1"/>
        <s v="The Kool Source" u="1"/>
        <s v="Sunken Stone" u="1"/>
        <s v="Camrock Oil &amp; Supply" u="1"/>
        <s v="Spinutech" u="1"/>
        <s v="Blueprint Consulting Services" u="1"/>
        <s v="Sante Realty Investments" u="1"/>
        <s v="Engage3" u="1"/>
        <s v="Mark Sanders - Alrossa" u="1"/>
        <s v="Income Store" u="1"/>
        <s v="Autonomous Media" u="1"/>
        <s v="AIIR Consulting" u="1"/>
        <s v="CallRail" u="1"/>
        <s v="Pendant Automation" u="1"/>
        <s v="Channel Factory" u="1"/>
        <s v="Axiom Path" u="1"/>
        <s v="Agape Luxury Corp" u="1"/>
        <s v="TK Trailer Parts" u="1"/>
        <s v="SaaSOptics" u="1"/>
        <s v="Repsly" u="1"/>
        <s v="Newmedia" u="1"/>
        <s v="Towel Tracker" u="1"/>
        <s v="Fountainhead Commercial Capital" u="1"/>
        <s v="Keystone Perfusion Services, PC" u="1"/>
        <s v="Credit Suite" u="1"/>
        <s v="Avanti Industries" u="1"/>
        <s v="Beautique" u="1"/>
        <s v="Zquared" u="1"/>
        <s v="Vibe Kayaks" u="1"/>
        <s v="DataClover" u="1"/>
        <s v="Lone Cone" u="1"/>
        <s v="Fresh Prints" u="1"/>
        <s v="Tek Leaders" u="1"/>
        <s v="Swig" u="1"/>
        <s v="LensDirect.com" u="1"/>
        <s v="Apex Air" u="1"/>
        <s v="Ignite Visibility" u="1"/>
        <s v="Snapsheet" u="1"/>
        <s v="Freeus" u="1"/>
        <s v="DMA Holdings" u="1"/>
        <s v="Resident360" u="1"/>
        <s v="Core Living" u="1"/>
        <s v="Encore Search Partners" u="1"/>
        <s v="EnableIT" u="1"/>
        <s v="Liquid Bottles" u="1"/>
        <s v="PoliteMail Software" u="1"/>
        <s v="Grain &amp; Barrel Spirits" u="1"/>
        <s v="United Energy Services" u="1"/>
        <s v="TaskUs" u="1"/>
        <s v="Ceros" u="1"/>
        <s v="Axle Logistics" u="1"/>
        <s v="Barratt Asset Management" u="1"/>
        <s v="Zivelo" u="1"/>
        <s v="Trinity Air Medical" u="1"/>
        <s v="Nuvolo" u="1"/>
        <s v="Foundry Outdoors" u="1"/>
        <s v="Vpak" u="1"/>
        <s v="Buildout" u="1"/>
        <s v="MediaCrossing" u="1"/>
        <s v="Vinformatix" u="1"/>
        <s v="Splash" u="1"/>
        <s v="Connect Media" u="1"/>
        <s v="Construction Cost Management" u="1"/>
        <s v="Nextlink Internet" u="1"/>
        <s v="College Hunks Hauling Junk and Moving (West Chester, Penn.)" u="1"/>
        <s v="Verato" u="1"/>
        <s v="Spilt Ink SLC" u="1"/>
        <s v="Southwest Site Services" u="1"/>
        <s v="Lever1" u="1"/>
        <s v="Siege Media" u="1"/>
        <s v="Quiroga Law Office" u="1"/>
        <s v="Bluechip Retail" u="1"/>
        <s v="Avtec Homes" u="1"/>
        <s v="BloomNation" u="1"/>
        <s v="Western Peaks Logistics" u="1"/>
        <s v="360 Risk Partners Insurance Solutions" u="1"/>
        <s v="Beauty Barrage" u="1"/>
        <s v="Visual Computer Solutions" u="1"/>
        <s v="Lexitas" u="1"/>
        <s v="Purchasing Platform" u="1"/>
        <s v="Javelin Group" u="1"/>
        <s v="Big Idea Technology" u="1"/>
        <s v="Total Technology Results" u="1"/>
        <s v="Clearview Business Intelligence" u="1"/>
        <s v="Index Analytics" u="1"/>
        <s v="Expedition Technology" u="1"/>
        <s v="Zuhne" u="1"/>
        <s v="Ledge Lounger" u="1"/>
        <s v="G2 Ops" u="1"/>
        <s v="WealthForge" u="1"/>
        <s v="Logical Position" u="1"/>
        <s v="Digital Forensic Services" u="1"/>
        <s v="Farber &amp; Company Attorneys" u="1"/>
        <s v="Catalyst Outdoor" u="1"/>
        <s v="Payer Compass" u="1"/>
        <s v="Local Web Leads" u="1"/>
        <s v="Curate Partners" u="1"/>
        <s v="UCW Logistics" u="1"/>
        <s v="Behavioral Health Works" u="1"/>
        <s v="Scribe-X Northwest" u="1"/>
        <s v="ALIRM" u="1"/>
        <s v="Resolute Technologies" u="1"/>
        <s v="Legwork Software" u="1"/>
        <s v="Zeel" u="1"/>
        <s v="Colorado Health &amp; Rehab" u="1"/>
        <s v="Wellflex Energy Solutions" u="1"/>
        <s v="Lastline" u="1"/>
        <s v="Cloudbakers" u="1"/>
        <s v="PPT Solutions (Oklahoma)" u="1"/>
        <s v="Northwestern Improvement Company" u="1"/>
        <s v="Ryan Geldermann" u="1"/>
        <s v="Innovetive Petcare" u="1"/>
        <s v="Shearer" u="1"/>
        <s v="FireFly Computers" u="1"/>
        <s v="Thin Air Brands" u="1"/>
        <s v="SoHo Dragon" u="1"/>
        <s v="Southwest Geotechnical" u="1"/>
        <s v="The Aspire Software Company" u="1"/>
        <s v="EyeKor" u="1"/>
        <s v="Stretch Shapes" u="1"/>
        <s v="Premier Remodeling" u="1"/>
        <s v="Power Digital Marketing" u="1"/>
        <s v="Ueno" u="1"/>
        <s v="Industry Dive" u="1"/>
        <s v="HIDEit Mounts" u="1"/>
        <s v="AMMD" u="1"/>
        <s v="Pegasus Technology Solutions" u="1"/>
        <s v="Jacaruso Enterprises" u="1"/>
        <s v="Eventellect" u="1"/>
        <s v="Tipalti" u="1"/>
        <s v="Aevex Aerospace" u="1"/>
        <s v="Ncontracts" u="1"/>
        <s v="Stone Glacier" u="1"/>
        <s v="Thrive Internet Marketing Agency" u="1"/>
        <s v="Eff Creative Group" u="1"/>
        <s v="Strike Visuals" u="1"/>
        <s v="BKM Capital Partners" u="1"/>
        <s v="Federal Strategies" u="1"/>
        <s v="GenTech Associates" u="1"/>
        <s v="Lima One Capital" u="1"/>
        <s v="MatterHackers" u="1"/>
        <s v="iClick" u="1"/>
        <s v="JDA Worldwide" u="1"/>
        <s v="Battery Recyclers of America" u="1"/>
        <s v="Oklahoma LED" u="1"/>
        <s v="Creamistry" u="1"/>
        <s v="Corkcicle" u="1"/>
        <s v="Team Solutions Dental" u="1"/>
        <s v="Dome Headwear" u="1"/>
        <s v="Fix It People" u="1"/>
        <s v="MaxGen Energy Services" u="1"/>
        <s v="Ben Kinney Real Estate Team" u="1"/>
        <s v="Liberty Home Mortgage Corporation" u="1"/>
        <s v="KBMax" u="1"/>
        <s v="ObservePoint" u="1"/>
        <s v="Thrive" u="1"/>
        <s v="What If Holdings" u="1"/>
        <s v="GonLED" u="1"/>
        <s v="Digital Relativity" u="1"/>
        <s v="Mavrck" u="1"/>
        <s v="Home Perfect Carpet &amp; Tile Cleaning" u="1"/>
        <s v="Field Industries" u="1"/>
        <s v="Pure Incubation" u="1"/>
        <s v="TouchUpDirect" u="1"/>
        <s v="Right at School" u="1"/>
        <s v="Sorry Robots" u="1"/>
        <s v="Central Point Partners" u="1"/>
        <s v="Ventive" u="1"/>
        <s v="Carrot" u="1"/>
        <s v="Amplio Digital" u="1"/>
        <s v="Dirt Wurx Excavation" u="1"/>
        <s v="Sayva Solutions" u="1"/>
        <s v="C Squared Social" u="1"/>
        <s v="U.Group" u="1"/>
        <s v="RWD Consulting" u="1"/>
        <s v="AGB Investigative Services" u="1"/>
        <s v="Denken Solutions" u="1"/>
        <s v="Silotech Group" u="1"/>
        <s v="Moonglow Jewelry" u="1"/>
        <s v="Decision Sciences Research Associates" u="1"/>
        <s v="Twelve Consulting Group" u="1"/>
        <s v="iArch Solutions" u="1"/>
        <s v="Seawater Seafood Company" u="1"/>
        <s v="Vert Digital" u="1"/>
        <s v="CT Assist" u="1"/>
        <s v="Fit Body Boot Camp" u="1"/>
        <s v="Nekteck" u="1"/>
        <s v="Expression Networks" u="1"/>
        <s v="Modern Message" u="1"/>
        <s v="1-Call Staffing" u="1"/>
        <s v="Pediatric Therapy" u="1"/>
        <s v="Crimson Agility" u="1"/>
        <s v="Keystone Funding" u="1"/>
        <s v="SlideBelts" u="1"/>
        <s v="Credit Service Intl." u="1"/>
        <s v="The Roman Guy" u="1"/>
        <s v="Fyzical" u="1"/>
        <s v="Green Bay Remodeling" u="1"/>
        <s v="Nebulaworks" u="1"/>
        <s v="Trinity Logistics USA" u="1"/>
        <s v="PDQ.com Corporation" u="1"/>
        <s v="Bighorn Design Studio" u="1"/>
        <s v="Elevation Solar" u="1"/>
        <s v="Watterson" u="1"/>
        <s v="Arch Systems" u="1"/>
        <s v="The Social Lights" u="1"/>
        <s v="Doceo Office Solutions" u="1"/>
        <s v="Signs.com" u="1"/>
        <s v="Disability Planners" u="1"/>
        <s v="Blue Label Labs" u="1"/>
        <s v="Commercial Services" u="1"/>
        <s v="1st Choice Construction Management" u="1"/>
        <s v="Alderson Loop" u="1"/>
        <s v="Legacy Toys" u="1"/>
        <s v="Outsource Consultants" u="1"/>
        <s v="MRL Promotions" u="1"/>
        <s v="ARC Risk and Compliance" u="1"/>
        <s v="829 Studios" u="1"/>
        <s v="DoctorLogic" u="1"/>
        <s v="Curlkit" u="1"/>
        <s v="STRATEGIC SOLUTION PARTNERS" u="1"/>
        <s v="Tellus" u="1"/>
        <s v="International Ceramic Construction" u="1"/>
        <s v="Banyan Hills Technologies" u="1"/>
        <s v="Peddle" u="1"/>
        <s v="Dibsies Personalization Station" u="1"/>
        <s v="Massie R&amp;D Tax Credits" u="1"/>
        <s v="Verdia" u="1"/>
        <s v="Cetechs" u="1"/>
        <s v="Investor Grit" u="1"/>
        <s v="Triple E Equipment" u="1"/>
        <s v="Prairie Tickets" u="1"/>
        <s v="Crystal Clear Digital Marketing" u="1"/>
        <s v="BroadJump" u="1"/>
        <s v="HomeStar Remodeling" u="1"/>
        <s v="LMS (Logistics Made Simple)" u="1"/>
        <s v="jBloom" u="1"/>
        <s v="Reltio" u="1"/>
        <s v="G2S" u="1"/>
        <s v="The Revenue Optimization Companies" u="1"/>
        <s v="The Exterior Company" u="1"/>
        <s v="Jennaration Boutique" u="1"/>
        <s v="Tinuiti" u="1"/>
        <s v="DKP Express" u="1"/>
        <s v="FlexFunds ETP" u="1"/>
        <s v="RapidOps" u="1"/>
        <s v="Waiakea" u="1"/>
        <s v="Nolan Transportation Group" u="1"/>
        <s v="TapResearch" u="1"/>
        <s v="Custom Decks" u="1"/>
        <s v="Rent Ready" u="1"/>
        <s v="30 Lines" u="1"/>
        <s v="MagMod" u="1"/>
        <s v="The Idea Box - Powered by Proforma" u="1"/>
        <s v="SEI-Dallas" u="1"/>
        <s v="Under30Experiences" u="1"/>
        <s v="Calyx" u="1"/>
        <s v="Mobile Posse" u="1"/>
        <s v="Intelligent Waves" u="1"/>
        <s v="KPG Healthcare" u="1"/>
        <s v="Jeff Shipley Enterprises" u="1"/>
        <s v="Verified First" u="1"/>
        <s v="MacStadium" u="1"/>
        <s v="Yapta" u="1"/>
        <s v="The Jenny Maraghy Team" u="1"/>
        <s v="Proforma Think Ink" u="1"/>
        <s v="CircusTrix" u="1"/>
        <s v="Washington Capital Partners" u="1"/>
        <s v="Waste Away Systems" u="1"/>
        <s v="Audley Travel" u="1"/>
        <s v="Your Home Sold Guaranteed Realty" u="1"/>
        <s v="A-Lign" u="1"/>
        <s v="Taimen Transport" u="1"/>
        <s v="Calldrip" u="1"/>
        <s v="Triton Commerce" u="1"/>
        <s v="eAssist Dental Solutions" u="1"/>
        <s v="Big Leap" u="1"/>
        <s v="Housing Trust Group" u="1"/>
        <s v="Suite Experience Group" u="1"/>
        <s v="WheelHouse IT" u="1"/>
        <s v="CAP Venture Group" u="1"/>
        <s v="TokenEx" u="1"/>
        <s v="ASB Resources" u="1"/>
        <s v="Old Dominion Mechanical" u="1"/>
        <s v="Managed Energy Systems" u="1"/>
        <s v="Trinity3 Technology" u="1"/>
        <s v="Kureiji" u="1"/>
        <s v="Wellex" u="1"/>
        <s v="Connoils" u="1"/>
        <s v="Advantage Media Group" u="1"/>
        <s v="DMD Products" u="1"/>
        <s v="Triplemint" u="1"/>
        <s v="Matrix 4" u="1"/>
        <s v="Vantage Point Logistics" u="1"/>
        <s v="Telco Connection" u="1"/>
        <s v="Binary Defense" u="1"/>
        <s v="Pinnacle Dermatology" u="1"/>
        <s v="TISTA Science and Technology" u="1"/>
        <s v="Schweiger Dermatology Group" u="1"/>
        <s v="10th Magnitude" u="1"/>
        <s v="Rankings.io" u="1"/>
        <s v="Complete Recovery Corp" u="1"/>
        <s v="Aerospace Asset Trading" u="1"/>
        <s v="Select Communications" u="1"/>
        <s v="DJB Hospitality Holding Co/Sedona Taphouse Restaurants" u="1"/>
        <s v="Aya Healthcare" u="1"/>
        <s v="NovuHealth" u="1"/>
        <s v="Bookkeeper360" u="1"/>
        <s v="Guaba" u="1"/>
        <s v="Gasket Guy" u="1"/>
        <s v="Industrial Security Integrators" u="1"/>
        <s v="Advanced Care Partners" u="1"/>
        <s v="Greentek Energy Systems" u="1"/>
        <s v="Advanced Technological Solutions" u="1"/>
        <s v="Lentech" u="1"/>
        <s v="Triplepoint Environmental" u="1"/>
        <s v="Tango Card" u="1"/>
        <s v="Assure" u="1"/>
        <s v="Index Exchange" u="1"/>
        <s v="Beddy's" u="1"/>
        <s v="Capital Wealth Advisors" u="1"/>
        <s v="PureCars Automotive" u="1"/>
        <s v="SaviLinx" u="1"/>
        <s v="CloserIQ" u="1"/>
        <s v="Kamind IT" u="1"/>
        <s v="Ascent Innovations" u="1"/>
        <s v="ITProTV" u="1"/>
        <s v="Lynker Technologies" u="1"/>
        <s v="Motifworks" u="1"/>
        <s v="Symmetry Financial Group" u="1"/>
        <s v="Zilker Technology" u="1"/>
        <s v="StruXure Outdoor" u="1"/>
        <s v="Tiger Analytics" u="1"/>
        <s v="Brandywine Homes" u="1"/>
        <s v="Paragon Payroll" u="1"/>
        <s v="FluentStream Technologies" u="1"/>
        <s v="Youtech" u="1"/>
        <s v="Kentech" u="1"/>
        <s v="Pixability" u="1"/>
        <s v="Osprey Management" u="1"/>
        <s v="Medical Guardian" u="1"/>
        <s v="Fastmore Logistics" u="1"/>
        <s v="Matt Curtis Real Estate" u="1"/>
        <s v="PetWell Partners" u="1"/>
        <s v="Ventech Solutions" u="1"/>
        <s v="Unitas Global" u="1"/>
        <s v="PowerSchool" u="1"/>
        <s v="Vantage Payments" u="1"/>
        <s v="Staffing Specifix" u="1"/>
        <s v="Restoration 1" u="1"/>
        <s v="Acorio" u="1"/>
        <s v="Veterinary Practice Partners" u="1"/>
        <s v="Research America" u="1"/>
        <s v="Amicus Enterprises" u="1"/>
        <s v="Opex Analytics" u="1"/>
        <s v="Marijuana Business Daily" u="1"/>
        <s v="Xtreme Park Adventures" u="1"/>
        <s v="Adonis Auto Group" u="1"/>
        <s v="Prescient Company" u="1"/>
        <s v="Home Pride Construction" u="1"/>
        <s v="SIGMA SOFTWARE" u="1"/>
        <s v="No Limit Agency" u="1"/>
        <s v="P2Binvestor" u="1"/>
        <s v="Infinite Pool Finishes" u="1"/>
        <s v="COFC Logistics" u="1"/>
        <s v="Blackstone Medical Services" u="1"/>
        <s v="FormulaFolio Investments" u="1"/>
        <s v="Advance Your Reach" u="1"/>
        <s v="Fundrise" u="1"/>
        <s v="3-GIS" u="1"/>
        <s v="Digitalspec" u="1"/>
        <s v="LeafFilter Gutter Protection" u="1"/>
        <s v="United Wall Systems" u="1"/>
        <s v="Sleeping Giant Brewing Company" u="1"/>
        <s v="Anemoi" u="1"/>
        <s v="Center for Social Dynamics" u="1"/>
        <s v="Yamibuy" u="1"/>
        <s v="OrderMyGear" u="1"/>
        <s v="Criterion Systems" u="1"/>
        <s v="Optimum RV" u="1"/>
        <s v="Thompson Healthcare &amp; Sports Medicine" u="1"/>
        <s v="PropLogix" u="1"/>
        <s v="E Network Supply" u="1"/>
        <s v="Riva Solutions" u="1"/>
        <s v="The Hilb Group" u="1"/>
        <s v="Perceptive Recruiting" u="1"/>
        <s v="UI Global Brands" u="1"/>
        <s v="House Advantage" u="1"/>
        <s v="Primal Life Organics" u="1"/>
        <s v="Living Wellness Partners" u="1"/>
        <s v="Millhouse Logistics" u="1"/>
        <s v="AgAmerica Lending" u="1"/>
        <s v="MedBridge" u="1"/>
        <s v="AutoSource Motors" u="1"/>
        <s v="Fulcrum Construction Group" u="1"/>
        <s v="Red River" u="1"/>
        <s v="BlueDog" u="1"/>
        <s v="Kontrol" u="1"/>
        <s v="DockYard" u="1"/>
        <s v="MidPoint Technology Group" u="1"/>
        <s v="Porcaro Stolarek Mete Partners" u="1"/>
        <s v="National Energy &amp; Light" u="1"/>
        <s v="CisCom Solutions" u="1"/>
        <s v="Biotrans" u="1"/>
        <s v="JB Office" u="1"/>
        <s v="JCW Search" u="1"/>
        <s v="Star Lab Corp." u="1"/>
        <s v="Expero" u="1"/>
        <s v="Endurance" u="1"/>
        <s v="Spiceology" u="1"/>
        <s v="Chewse" u="1"/>
        <s v="Apex Appraisal Service" u="1"/>
        <s v="Boomset" u="1"/>
        <s v="ShipSound" u="1"/>
        <s v="Infinite Leap" u="1"/>
        <s v="Douglas Realty" u="1"/>
        <s v="B3 Medical" u="1"/>
        <s v="Self-Publishing School" u="1"/>
        <s v="Torrent Consulting" u="1"/>
        <s v="Atlas MedStaff" u="1"/>
        <s v="JB Software and Consulting" u="1"/>
        <s v="Atredis Partners" u="1"/>
        <s v="2A Consulting" u="1"/>
        <s v="Flux7" u="1"/>
        <s v="Famous Toastery" u="1"/>
        <s v="Vac2Go" u="1"/>
        <s v="ITA International" u="1"/>
        <s v="Raw Sugar Living" u="1"/>
        <s v="Devbridge" u="1"/>
        <s v="AML RightSource" u="1"/>
        <s v="Rozalado" u="1"/>
        <s v="Hayes Healthcare" u="1"/>
        <s v="Grant Enterprises" u="1"/>
        <s v="Disruptive Advertising" u="1"/>
        <s v="Proforma Angelini + Diamond Solutions" u="1"/>
        <s v="Softeq Development" u="1"/>
        <s v="Dream Finders Homes" u="1"/>
        <s v="ProEquity Asset Management" u="1"/>
        <s v="Rise Brands" u="1"/>
        <s v="iDealFurniture/KozyFurniture" u="1"/>
        <s v="GenerX Generators" u="1"/>
        <s v="Team SI" u="1"/>
        <s v="Picardie Timber Frame" u="1"/>
        <s v="Tarmac" u="1"/>
        <s v="WhirlWind Technologies" u="1"/>
        <s v="Geo Owl" u="1"/>
        <s v="Flexisales" u="1"/>
        <s v="Bleacher Restorators of Colorado" u="1"/>
        <s v="Black Tie Moving" u="1"/>
        <s v="Maven Wave" u="1"/>
        <s v="Mountain State Software Solutions" u="1"/>
        <s v="Gateway Multifamily" u="1"/>
        <s v="Venture REI" u="1"/>
        <s v="AutoPets" u="1"/>
        <s v="Flocknote" u="1"/>
        <s v="Lowers Risk Group" u="1"/>
        <s v="Escapology" u="1"/>
        <s v="Aero Accessories" u="1"/>
        <s v="Magnolia Innovation" u="1"/>
        <s v="National Design Build Services" u="1"/>
        <s v="TekCom Resources" u="1"/>
        <s v="Rx Savings Solutions" u="1"/>
        <s v="AG Consulting Partners" u="1"/>
        <s v="Eck Services" u="1"/>
        <s v="Legacy Service" u="1"/>
        <s v="Strong Together Fitness" u="1"/>
        <s v="Moxie Solar" u="1"/>
        <s v="Veyo" u="1"/>
        <s v="World Insurance Associates" u="1"/>
        <s v="Saviynt" u="1"/>
        <s v="Wana Brands" u="1"/>
        <s v="Cookie Cutters Haircuts for Kids" u="1"/>
        <s v="WaveFly Powered by JMF Solutions" u="1"/>
        <s v="n2grate" u="1"/>
        <s v="FullContact" u="1"/>
        <s v="Thycotic" u="1"/>
        <s v="Spring Dental" u="1"/>
        <s v="HealthCaps" u="1"/>
        <s v="B.O.S.S. Retirement Solutions" u="1"/>
        <s v="Teamson Design Corp." u="1"/>
        <s v="Total Server Solutions" u="1"/>
        <s v="The Mix Group" u="1"/>
        <s v="Mpact Strategic Consulting" u="1"/>
        <s v="ERP Maestro" u="1"/>
        <s v="Magnolia Boutique" u="1"/>
        <s v="LandSouth Construction" u="1"/>
        <s v="The Vested Group" u="1"/>
        <s v="Cortina Solutions" u="1"/>
        <s v="Lafayette Metal &amp; Glass Company" u="1"/>
        <s v="Ops Tech Alliance" u="1"/>
        <s v="TIME Systems" u="1"/>
        <s v="Lighter Capital" u="1"/>
        <s v="Intuitive Web Solutions" u="1"/>
        <s v="Ardent Eagle Solutions" u="1"/>
        <s v="Boutique Recruiting" u="1"/>
        <s v="PerkSpot" u="1"/>
        <s v="WamBam Fence" u="1"/>
        <s v="SMR Holdings" u="1"/>
        <s v="Brown Fox PLLC" u="1"/>
        <s v="Ruckus Marketing" u="1"/>
        <s v="Pacifica Consulting Services" u="1"/>
        <s v="Zerto" u="1"/>
        <s v="Garland Technology" u="1"/>
        <s v="CirrusLabs" u="1"/>
        <s v="Northwest Healthcare" u="1"/>
        <s v="VividFront" u="1"/>
        <s v="Auditmacs" u="1"/>
        <s v="Nationwide IT Services" u="1"/>
        <s v="Bespoke Sports &amp; Entertainment" u="1"/>
        <s v="Hero Digital" u="1"/>
        <s v="Diversified" u="1"/>
        <s v="Credence Management Solutions" u="1"/>
        <s v="ViewSport International" u="1"/>
        <s v="Stack Construction Technologies" u="1"/>
        <s v="meQuilibrium/New Life Solution" u="1"/>
        <s v="Myles Apparel" u="1"/>
        <s v="Malka" u="1"/>
        <s v="BigBinary" u="1"/>
        <s v="Epic Property Management" u="1"/>
        <s v="Goldfish Swim School Franchising" u="1"/>
        <s v="ProjectManager.com" u="1"/>
        <s v="Terra Exports" u="1"/>
        <s v="Purchasing Group" u="1"/>
        <s v="Cloudticity" u="1"/>
        <s v="A. Prentice Ray" u="1"/>
        <s v="MartinFederal" u="1"/>
        <s v="QFS" u="1"/>
        <s v="Heaton Dainard Real Estate" u="1"/>
        <s v="Five Doors Network" u="1"/>
        <s v="GreenWorks Service Company" u="1"/>
        <s v="Becker Logistics" u="1"/>
        <s v="GIS Surveyors" u="1"/>
        <s v="Taulia" u="1"/>
        <s v="KensieMae" u="1"/>
        <s v="Advanced Technology Logistics" u="1"/>
        <s v="Kingsmen Software" u="1"/>
        <s v="Hologenix" u="1"/>
        <s v="Franklin Media" u="1"/>
        <s v="Instinct Dog Behavior &amp; Training" u="1"/>
        <s v="Fulton Grace Realty" u="1"/>
        <s v="Innovatemap" u="1"/>
        <s v="Ramsey &amp; Walker" u="1"/>
        <s v="TruFusion" u="1"/>
        <s v="Precise Software Solutions" u="1"/>
        <s v="ZoCo Design" u="1"/>
        <s v="GeoLinks" u="1"/>
        <s v="FormAssembly" u="1"/>
        <s v="Uber Bazaar" u="1"/>
        <s v="Kiki LaRue" u="1"/>
        <s v="Proforma BrandCentric Solutions" u="1"/>
        <s v="PopShorts" u="1"/>
        <s v="InfiniSource Consulting Solutions" u="1"/>
        <s v="540.co" u="1"/>
        <s v="Sauce Labs" u="1"/>
        <s v="Renaissance Windows &amp; Doors" u="1"/>
        <s v="Barbee Jackson Insurance" u="1"/>
        <s v="Whitestone Branding" u="1"/>
        <s v="Einstein PEO" u="1"/>
        <s v="Axe Prime" u="1"/>
        <s v="Optmyzr" u="1"/>
        <s v="Well Told" u="1"/>
        <s v="Camp Gladiator" u="1"/>
        <s v="Mfrg-Icon Construction" u="1"/>
        <s v="Metis Solutions" u="1"/>
        <s v="Rainmaker Ad Ventures" u="1"/>
        <s v="Tattersall Companies" u="1"/>
        <s v="The GFB: Gluten Free Bar" u="1"/>
        <s v="Accelerate Solar" u="1"/>
        <s v="Callibrity Solutions" u="1"/>
        <s v="Construction Plus" u="1"/>
        <s v="Big Hammer Wines" u="1"/>
        <s v="TFM Truckload" u="1"/>
        <s v="Mortgage Financial Services" u="1"/>
        <s v="The Participation Agency" u="1"/>
        <s v="SalesLoft" u="1"/>
        <s v="Kaizen Technology Partners" u="1"/>
        <s v="OppGenetix" u="1"/>
        <s v="Ecogistics" u="1"/>
        <s v="StaffRehab" u="1"/>
        <s v="Alkemy Partners Instruction and Design" u="1"/>
        <s v="Explotrain" u="1"/>
        <s v="Healthcare Solutions Direct" u="1"/>
        <s v="Eaglestone" u="1"/>
        <s v="FloodBreak" u="1"/>
        <s v="R2C" u="1"/>
        <s v="Triad" u="1"/>
        <s v="Kerberos International" u="1"/>
        <s v="Priority Ambulance" u="1"/>
        <s v="Corporate Tax Advisors" u="1"/>
        <s v="Stride Consulting" u="1"/>
        <s v="ESO" u="1"/>
        <s v="Origami Risk" u="1"/>
        <s v="Westview Productions" u="1"/>
        <s v="3Blue Media" u="1"/>
        <s v="Signature Analytics" u="1"/>
        <s v="Seriously" u="1"/>
        <s v="Chefman" u="1"/>
        <s v="twelve NYC" u="1"/>
        <s v="Scorpion" u="1"/>
        <s v="Overdrive Brands" u="1"/>
        <s v="IT Authorities" u="1"/>
        <s v="Mac's LTC Pharmacy Solutions" u="1"/>
        <s v="123ws.com" u="1"/>
        <s v="Greenlink Financial" u="1"/>
        <s v="Direct Components" u="1"/>
        <s v="Seller Labs" u="1"/>
        <s v="JD Precision Plumbing Services" u="1"/>
        <s v="Nearshore Technology" u="1"/>
        <s v="Weris" u="1"/>
        <s v="WillowTree" u="1"/>
        <s v="The DVI Group" u="1"/>
        <s v="Rational Interaction" u="1"/>
        <s v="Peak Dental Services" u="1"/>
        <s v="Obsidian Solutions Group" u="1"/>
        <s v="Fairbridge Partners" u="1"/>
        <s v="Livewell Clinic" u="1"/>
        <s v="Digital Brew" u="1"/>
        <s v="5by5" u="1"/>
        <s v="Punch Bowl Social" u="1"/>
        <s v="ConsumerAffairs" u="1"/>
        <s v="Mars Services" u="1"/>
        <s v="MAS Global Consulting" u="1"/>
        <s v="StatGear" u="1"/>
        <s v="Source 1 Solutions" u="1"/>
        <s v="Artemis Consulting" u="1"/>
        <s v="Rebellion Photonics" u="1"/>
        <s v="InnovateEd" u="1"/>
        <s v="intlx Solutions" u="1"/>
        <s v="Seal Software" u="1"/>
        <s v="Integrity Express Logistics" u="1"/>
        <s v="Mission Field" u="1"/>
        <s v="Cambay Consulting" u="1"/>
        <s v="Sourcetoad" u="1"/>
        <s v="CorLife" u="1"/>
        <s v="Passio Technologies" u="1"/>
        <s v="Silverback Strategies" u="1"/>
        <s v="NextGen Federal Systems" u="1"/>
        <s v="Tripleseat" u="1"/>
        <s v="Sonatype" u="1"/>
        <s v="iTechArt Group" u="1"/>
        <s v="Flexton" u="1"/>
        <s v="Xtenfer Consulting" u="1"/>
        <s v="Tenfold" u="1"/>
        <s v="Avant Healthcare Professionals" u="1"/>
        <s v="Need Supply Co." u="1"/>
        <s v="Grow Op Farms" u="1"/>
        <s v="Advent Health Partners" u="1"/>
        <s v="CopaSAT" u="1"/>
        <s v="Reservations.com" u="1"/>
        <s v="Global Lending Services" u="1"/>
        <s v="Broad Sky Networks" u="1"/>
        <s v="Sawtst" u="1"/>
        <s v="Open Lending" u="1"/>
        <s v="Wilson Shaw Information Technology" u="1"/>
        <s v="Brand Bureau" u="1"/>
        <s v="Travlu.com : DHD Hospetality Services" u="1"/>
        <s v="Ivy Lane" u="1"/>
        <s v="Klymit" u="1"/>
        <s v="American Hartford Gold Group" u="1"/>
        <s v="Poseidon Systems" u="1"/>
        <s v="Lemonlight" u="1"/>
        <s v="Zentra" u="1"/>
        <s v="Tresata" u="1"/>
        <s v="70E Solutions" u="1"/>
        <s v="National Coatings" u="1"/>
        <s v="One Source Companies" u="1"/>
        <s v="Reliable Relamping" u="1"/>
        <s v="K3 Solutions" u="1"/>
        <s v="Trendsformers" u="1"/>
        <s v="Accountfully" u="1"/>
        <s v="Worth Clark Realty" u="1"/>
        <s v="Piedmont Payment Services" u="1"/>
        <s v="Endeavor Schools" u="1"/>
        <s v="Science and Medicine Group" u="1"/>
        <s v="GigSalad" u="1"/>
        <s v="Turo" u="1"/>
        <s v="Golden Gate BPO Solutions" u="1"/>
        <s v="Beyond Codes" u="1"/>
        <s v="Greg Norman &amp; Associates" u="1"/>
        <s v="Freedom Healthcare Staffing" u="1"/>
        <s v="Priority Title &amp; Escrow" u="1"/>
        <s v="Spice Jungle" u="1"/>
        <s v="DiscoverOrg" u="1"/>
        <s v="Firebird Analytical Solutions and Technologies" u="1"/>
        <s v="Windy City Equipment (WCE)" u="1"/>
        <s v="Acertus" u="1"/>
        <s v="Electrostar Electronics Recovery Solutions" u="1"/>
        <s v="Technical Assurance" u="1"/>
        <s v="The Ceres Group" u="1"/>
        <s v="Neo Prism Solutions" u="1"/>
        <s v="Impact Branding &amp; Design" u="1"/>
        <s v="Alpha Structural" u="1"/>
        <s v="Gulf Coast Crating" u="1"/>
        <s v="Petra Coach" u="1"/>
        <s v="Studio III Marketing" u="1"/>
        <s v="Fusion Medical Staffing" u="1"/>
        <s v="Trinity Packaging Supply" u="1"/>
        <s v="Scotto" u="1"/>
        <s v="Equiscript" u="1"/>
        <s v="Argus Merchant Services" u="1"/>
        <s v="Creative Systems and Consulting" u="1"/>
        <s v="Picore International" u="1"/>
        <s v="Pierce Education Properties" u="1"/>
        <s v="PIRS Capital" u="1"/>
        <s v="FTK Constructions Services" u="1"/>
        <s v="Nelson" u="1"/>
        <s v="Tilson Technology Management" u="1"/>
        <s v="New Signature" u="1"/>
        <s v="SkyHop Global" u="1"/>
        <s v="Sage Millimeter" u="1"/>
        <s v="Vitality Bowls Enterprise" u="1"/>
        <s v="Keller Williams Legacy" u="1"/>
        <s v="I.T. Works Recruitment" u="1"/>
        <s v="Cardiva Medical" u="1"/>
        <s v="Three T's Properties" u="1"/>
        <s v="Tier4 Advisors" u="1"/>
        <s v="SoBe Promos" u="1"/>
        <s v="CoSolutions" u="1"/>
        <s v="Strait" u="1"/>
        <s v="Bolton Remote" u="1"/>
        <s v="Noble.com" u="1"/>
        <s v="Source Ortho" u="1"/>
        <s v="Halo Maritime Defense Systems" u="1"/>
        <s v="NetImpact Strategies" u="1"/>
        <s v="Dave Burgess Consulting" u="1"/>
        <s v="Red Oak Compliance Solutions Holdings" u="1"/>
        <s v="Polaris Logistics Group" u="1"/>
        <s v="ERP Advisors Group" u="1"/>
        <s v="Go Fish Digital" u="1"/>
        <s v="Whoice USA" u="1"/>
        <s v="3B Medical" u="1"/>
        <s v="Semihandmade" u="1"/>
        <s v="Venza" u="1"/>
        <s v="Affinity Dental Management" u="1"/>
        <s v="Nationwide Transport Services" u="1"/>
        <s v="Altaworx" u="1"/>
        <s v="Spear Physical Therapy" u="1"/>
        <s v="Bioluz LED" u="1"/>
        <s v="Saltwater Collective" u="1"/>
        <s v="Baldwin Risk Partners" u="1"/>
        <s v="Lightbeam Health" u="1"/>
        <s v="Files.com" u="1"/>
        <s v="SilverCloud" u="1"/>
        <s v="Utility Concierge" u="1"/>
        <s v="MPLT Healthcare" u="1"/>
        <s v="Fab Glass and Mirror" u="1"/>
        <s v="Sparkle In Pink" u="1"/>
        <s v="Katz Capital" u="1"/>
        <s v="Spears Consulting Group" u="1"/>
        <s v="BahFed" u="1"/>
        <s v="Assisted Living Locators" u="1"/>
        <s v="pNeo" u="1"/>
        <s v="Kopis Mobile" u="1"/>
        <s v="The Institute for Wealth Management" u="1"/>
        <s v="Phoenix Financial Services" u="1"/>
        <s v="Fortress Credit Professionals" u="1"/>
        <s v="Apex Infinite Solutions" u="1"/>
        <s v="Traditions Health" u="1"/>
        <s v="Navigate Power" u="1"/>
        <s v="Oscar Orduno" u="1"/>
        <s v="Senior Solutions Home Care" u="1"/>
        <s v="Mindgruve" u="1"/>
        <s v="Perfect Snacks" u="1"/>
        <s v="Orangetheory Fitness" u="1"/>
        <s v="DoubleMap" u="1"/>
        <s v="KLDiscovery" u="1"/>
        <s v="GrapeTree Medical Staffing" u="1"/>
        <s v="Innovative Collaboration" u="1"/>
        <s v="22nd Century Technologies" u="1"/>
        <s v="HealthMark Group" u="1"/>
        <s v="Countrywide Realty Partners" u="1"/>
        <s v="Longneck &amp; Thunderfoot" u="1"/>
        <s v="HJR Global" u="1"/>
        <s v="Fuse3 Solutions" u="1"/>
        <s v="JWB Real Estate Capital" u="1"/>
        <s v="Kobie Marketing" u="1"/>
        <s v="Plutora" u="1"/>
        <s v="Adeptus Solutions" u="1"/>
        <s v="BlueSnap" u="1"/>
        <s v="Zero Gravity Marketing" u="1"/>
        <s v="Base4" u="1"/>
        <s v="OneTrust Home Loans" u="1"/>
        <s v="Josh's Frogs" u="1"/>
        <s v="Applied Resource Group" u="1"/>
        <s v="Advance Financial" u="1"/>
        <s v="Executive Placements" u="1"/>
        <s v="Credit Repair Cloud" u="1"/>
        <s v="BDI" u="1"/>
        <s v="InfoTrust" u="1"/>
        <s v="Hyperquake" u="1"/>
        <s v="Tender Loving Empire" u="1"/>
        <s v="Avanti Systems USA" u="1"/>
        <s v="Vetsource" u="1"/>
        <s v="Intelliforce-IT Solutions Group" u="1"/>
        <s v="Geraci Law Firm" u="1"/>
        <s v="Whistle Sports" u="1"/>
        <s v="MyComputerCareer" u="1"/>
        <s v="Welltok" u="1"/>
        <s v="Vesta Preferred" u="1"/>
        <s v="Userful" u="1"/>
        <s v="Rootstrap" u="1"/>
        <s v="Green Cloud Technologies" u="1"/>
        <s v="BluePeak Technology Solutions" u="1"/>
        <s v="Tiesta Tea Company" u="1"/>
        <s v="Beneficial Blends dba Kelapo" u="1"/>
        <s v="Sunset Healthcare Solutions" u="1"/>
        <s v="Agilisium Consulting" u="1"/>
        <s v="Spot Freight" u="1"/>
        <s v="Big Block Realty" u="1"/>
        <s v="P2sample" u="1"/>
        <s v="Crunch Fitness West Florida and Atlanta (CR Fitness)" u="1"/>
        <s v="Signature Transportation Group" u="1"/>
        <s v="Black Button Distilling" u="1"/>
        <s v="Opex Technologies" u="1"/>
        <s v="Secunetics" u="1"/>
        <s v="Elevate" u="1"/>
        <s v="Telarus" u="1"/>
        <s v="G Fuel" u="1"/>
        <s v="National Land Realty" u="1"/>
        <s v="SKG" u="1"/>
        <s v="Health Products For You" u="1"/>
        <s v="Facilities Maintenance Management" u="1"/>
        <s v="Banquest Payment Systems" u="1"/>
        <s v="Lumber One Services" u="1"/>
        <s v="Align Technical Resources" u="1"/>
        <s v="Caliber Corporate Advisers" u="1"/>
        <s v="Adpearance" u="1"/>
        <s v="Boomerang DM" u="1"/>
        <s v="Steam Logistics" u="1"/>
        <s v="NextHome" u="1"/>
        <s v="ndVOR Solutions" u="1"/>
        <s v="ClearCompany" u="1"/>
        <s v="Premier Coil Solutions" u="1"/>
        <s v="Inside Ventures" u="1"/>
        <s v="Summus Group" u="1"/>
        <s v="Central Vapors" u="1"/>
        <s v="Nam Technologies" u="1"/>
        <s v="Done Right Merchandising" u="1"/>
        <s v="Restaurant Partners Procurement" u="1"/>
        <s v="Fieldstone Homes" u="1"/>
        <s v="Pointe Pest Control-ID" u="1"/>
        <s v="Unosquare" u="1"/>
        <s v="Modern Market Master" u="1"/>
        <s v="StrategyWise" u="1"/>
        <s v="Rhino Fleet Tracking" u="1"/>
        <s v="United Installs" u="1"/>
        <s v="Lightspeed Voice" u="1"/>
        <s v="Magneti" u="1"/>
        <s v="Pharmapacks" u="1"/>
        <s v="Higher Logic" u="1"/>
        <s v="Stewardship" u="1"/>
        <s v="InRhythm" u="1"/>
        <s v="RoundTower Technologies" u="1"/>
        <s v="Brandlive" u="1"/>
        <s v="Reliant Vision Group" u="1"/>
        <s v="Meredith Lodging" u="1"/>
        <s v="Energy Lighting Services" u="1"/>
        <s v="Felix Media Solutions" u="1"/>
        <s v="Pye-Barker Fire" u="1"/>
        <s v="ConnXus" u="1"/>
        <s v="VEA Foods" u="1"/>
        <s v="Cantor Property Services" u="1"/>
        <s v="Trade Ideas" u="1"/>
        <s v="Dovel Technologies" u="1"/>
        <s v="ProfitOptics" u="1"/>
        <s v="IronArch Technology" u="1"/>
        <s v="IT Veterans" u="1"/>
        <s v="Brother's Mechanical" u="1"/>
        <s v="Allturna" u="1"/>
        <s v="Ryan Insurance Services" u="1"/>
        <s v="CPR1" u="1"/>
        <s v="Noury Construction" u="1"/>
        <s v="Leading Edge Aviation" u="1"/>
        <s v="SOR Technology" u="1"/>
        <s v="Stake Center Locating" u="1"/>
        <s v="Conversica" u="1"/>
        <s v="SkyRun Vacation Rentals" u="1"/>
        <s v="G-Squared Partners" u="1"/>
        <s v="Benzer Pharmacy" u="1"/>
        <s v="Cultiva" u="1"/>
        <s v="SRP Environmental" u="1"/>
        <s v="EnTouch Controls" u="1"/>
        <s v="Little Sunshine's Playhouse" u="1"/>
        <s v="Mark Spain Real Estate" u="1"/>
        <s v="Coast Medical Service" u="1"/>
        <s v="The Salas Team" u="1"/>
        <s v="McClure" u="1"/>
        <s v="SinglePoint Global" u="1"/>
        <s v="Bubbies Homemade Ice Cream and Desserts" u="1"/>
        <s v="DayBlink Consulting" u="1"/>
        <s v="Scanco Software" u="1"/>
        <s v="beMatrix USA" u="1"/>
        <s v="Hindsight Software Solutions" u="1"/>
        <s v="Otter's Chicken" u="1"/>
        <s v="Reputation.com" u="1"/>
        <s v="TBX" u="1"/>
        <s v="Ivalua" u="1"/>
        <s v="Gold Medal Pools" u="1"/>
        <s v="Carnivore Meat Company" u="1"/>
        <s v="Denver Design Build" u="1"/>
        <s v="BioAgilytix" u="1"/>
        <s v="Eight Oh Two Marketing" u="1"/>
        <s v="Synapse Business Systems" u="1"/>
        <s v="Within Interior Design" u="1"/>
        <s v="Sigma Tax Pro" u="1"/>
        <s v="CC&amp;D" u="1"/>
        <s v="The HCI Group" u="1"/>
        <s v="Texan Allergy and Sinus Center" u="1"/>
        <s v="NEwhere" u="1"/>
        <s v="TeleVoIPs" u="1"/>
        <s v="Furniture Clinic" u="1"/>
        <s v="Kline Home Exteriors" u="1"/>
        <s v="GP Transco" u="1"/>
        <s v="Legalpeople/The Partners Group" u="1"/>
        <s v="FountainheadME" u="1"/>
        <s v="Blue Sky IT Partners" u="1"/>
        <s v="Wizard Labels" u="1"/>
        <s v="Trust Security Services" u="1"/>
        <s v="Baby Bling" u="1"/>
        <s v="DirectDefense" u="1"/>
        <s v="CrossCountry Mortgage" u="1"/>
        <s v="LGCY Power" u="1"/>
        <s v="Seneca Resources" u="1"/>
        <s v="ProLink Staffing" u="1"/>
        <s v="Pinnacle Furnished Suites" u="1"/>
        <s v="Sportsdigita" u="1"/>
        <s v="Nationwide Logistics" u="1"/>
        <s v="Teleradiology Specialists" u="1"/>
        <s v="Owenby Law" u="1"/>
        <s v="121 USA" u="1"/>
        <s v="Honest Abe Roofing" u="1"/>
        <s v="Moore Solar / Heating / Cooling" u="1"/>
        <s v="The K Company Realty" u="1"/>
        <s v="Perpetual:" u="1"/>
        <s v="Eglentowicz Demoliiton" u="1"/>
        <s v="Southern Striping Solutions" u="1"/>
        <s v="Provision Insurnace Group" u="1"/>
        <s v="Rethink Autism" u="1"/>
        <s v="WesternTechSystems" u="1"/>
        <s v="Alliance Family of Companies" u="1"/>
        <s v="RKC Products" u="1"/>
        <s v="Hilgers Graben" u="1"/>
        <s v="Paradise Exteriors" u="1"/>
        <s v="Big Elk Energy Systems" u="1"/>
        <s v="POTENZA" u="1"/>
        <s v="ProScribe" u="1"/>
        <s v="Superior Print and Exhibit" u="1"/>
        <s v="Sidebench" u="1"/>
        <s v="Skin by Lovely" u="1"/>
        <s v="Custom Pro Logistics" u="1"/>
        <s v="Orange Tree Staffing" u="1"/>
        <s v="Northwest Career College" u="1"/>
        <s v="Apto" u="1"/>
        <s v="Opus Agency" u="1"/>
        <s v="All In One Custom Renovations" u="1"/>
        <s v="CloudSmartz" u="1"/>
        <s v="Premier Logistics Partners" u="1"/>
        <s v="Infoverity" u="1"/>
        <s v="Centralized Service" u="1"/>
        <s v="Capstone Fire &amp; Safety" u="1"/>
        <s v="Retail Cloud Technologies" u="1"/>
        <s v="Maui Resort Rentals" u="1"/>
        <s v="SimplePart" u="1"/>
        <s v="MFI Medical Equipment" u="1"/>
        <s v="Back at You" u="1"/>
        <s v="Futuri Media" u="1"/>
        <s v="Scotlynn USA Division" u="1"/>
        <s v="Millennium Trust Company" u="1"/>
        <s v="CapGrow Partners" u="1"/>
        <s v="Marathon Strategies" u="1"/>
        <s v="Marketing Genome" u="1"/>
        <s v="RSB Environmental" u="1"/>
        <s v="Swiss American CDMO" u="1"/>
        <s v="J.W. Logistics" u="1"/>
        <s v="Peak Properties Group" u="1"/>
        <s v="The Ventus Network" u="1"/>
        <s v="BiggerPockets" u="1"/>
        <s v="Oasys" u="1"/>
        <s v="Williamsburg Enterprises" u="1"/>
        <s v="Elite Events &amp; Rentals" u="1"/>
        <s v="Estrella Franchising" u="1"/>
        <s v="Merit Financial Group" u="1"/>
        <s v="Luxury Living Chicago Realty" u="1"/>
        <s v="Benton Roofing" u="1"/>
        <s v="Graham Technologies" u="1"/>
        <s v="Cognitus Consulting" u="1"/>
        <s v="Data Canopy Colocation" u="1"/>
        <s v="Farwell" u="1"/>
        <s v="Sunpro Solar" u="1"/>
        <s v="Denny Cherry &amp; Associates Consulting" u="1"/>
        <s v="Challas Group" u="1"/>
        <s v="Vertex Global Solutions" u="1"/>
        <s v="rewardStyle" u="1"/>
        <s v="Austin Capital Bank" u="1"/>
        <s v="Culprit Creative" u="1"/>
        <s v="Doing Good Works" u="1"/>
        <s v="Universal Language Service" u="1"/>
        <s v="UNA" u="1"/>
        <s v="Isenberg Bath Corporation" u="1"/>
        <s v="Mightily" u="1"/>
        <s v="Quantum Dynamics" u="1"/>
        <s v="Greasecycle" u="1"/>
        <s v="Dizzion" u="1"/>
        <s v="Huss Brewing" u="1"/>
        <s v="GrayMatter" u="1"/>
        <s v="J2 Solutions" u="1"/>
        <s v="ProviderTrust" u="1"/>
        <s v="Diversified Conveyors International" u="1"/>
        <s v="Structure Ventures" u="1"/>
        <s v="Inbenta Holdings" u="1"/>
        <s v="Spartan Value Investors" u="1"/>
        <s v="Flexible Staffing of Georgia" u="1"/>
        <s v="Chicken Salad Chick" u="1"/>
        <s v="Double A Labs" u="1"/>
        <s v="QC Manufacturing" u="1"/>
        <s v="Heartcore Women" u="1"/>
        <s v="Nou Systems" u="1"/>
        <s v="The Bachrach Group" u="1"/>
        <s v="Madwire" u="1"/>
        <s v="MacGregor Partners" u="1"/>
        <s v="Taktik Logistics Group" u="1"/>
        <s v="Americord Registry" u="1"/>
        <s v="Z Transportation" u="1"/>
        <s v="Accelerated Growth Advisors" u="1"/>
        <s v="OrthoFi" u="1"/>
        <s v="Savewize Wholesale Distribution" u="1"/>
        <s v="Smarsh" u="1"/>
        <s v="The Flyway Companies" u="1"/>
        <s v="SmartBug Media" u="1"/>
        <s v="Open Influence" u="1"/>
        <s v="SEO Werkz" u="1"/>
        <s v="YellowTelescope/SEOversite/iScreamSocialMedia" u="1"/>
        <s v="Conserva Irrigation Franchising" u="1"/>
        <s v="2nd Family" u="1"/>
        <s v="BeatBox Beverages" u="1"/>
        <s v="Apex Energy Solutions Georgia" u="1"/>
        <s v="Cava Companies" u="1"/>
        <s v="Dribbble" u="1"/>
        <s v="Incredible Technologies" u="1"/>
        <s v="Hawkers Asian Street Fare" u="1"/>
        <s v="Noetic Strategies" u="1"/>
        <s v="Acmetek Global Solutions" u="1"/>
        <s v="Niha Technologies" u="1"/>
        <s v="F. H. Cann &amp; Associates" u="1"/>
        <s v="Ceterus" u="1"/>
        <s v="SRT Group" u="1"/>
        <s v="TrendHR" u="1"/>
        <s v="First Help Financial" u="1"/>
        <s v="Dynamic Pricing Partners" u="1"/>
        <s v="StraCon Services Group" u="1"/>
        <s v="Topstep" u="1"/>
        <s v="defi solutions" u="1"/>
        <s v="Praxent" u="1"/>
        <s v="ThinkLite" u="1"/>
        <s v="Pacific Packaging Products" u="1"/>
        <s v="Your Location Lubrication" u="1"/>
        <s v="SocialSEO" u="1"/>
        <s v="LRAP Association" u="1"/>
        <s v="Imaginuity" u="1"/>
        <s v="Level 3 Audio Visual" u="1"/>
        <s v="GuidePoint Security" u="1"/>
        <s v="Agency EA" u="1"/>
        <s v="Funding Merchant Source" u="1"/>
        <s v="Quid" u="1"/>
        <s v="Lodging Access Systems" u="1"/>
        <s v="Brillient Corporation" u="1"/>
        <s v="CTI (Taylorville, IL)" u="1"/>
        <s v="Nutronics" u="1"/>
        <s v="Digital Media Solutions" u="1"/>
        <s v="Rescue One Financial" u="1"/>
        <s v="Buffalo Computer Graphics" u="1"/>
        <s v="Bright Power" u="1"/>
        <s v="Stone Tower Winery" u="1"/>
        <s v="Retail Security Services" u="1"/>
        <s v="Everybodyfights" u="1"/>
        <s v="Blossom Ridge Home Health" u="1"/>
        <s v="Star Building Services" u="1"/>
        <s v="Aureus Techsystems" u="1"/>
        <s v="Bridge Marketing" u="1"/>
        <s v="Tx3 Services" u="1"/>
        <s v="Q4Launch" u="1"/>
        <s v="Goettl Air Conditioning" u="1"/>
        <s v="ISN" u="1"/>
        <s v="Inspirix Technologies" u="1"/>
        <s v="CNC Machines" u="1"/>
        <s v="Denair HVAC" u="1"/>
        <s v="ABT Plumbing Electric Heat" u="1"/>
        <s v="YCharts" u="1"/>
        <s v="Max Trans Logistics of Chattanooga" u="1"/>
        <s v="Storm Smart" u="1"/>
        <s v="Wpromote" u="1"/>
        <s v="PrismHR" u="1"/>
        <s v="Vivaldi Music Academy" u="1"/>
        <s v="Energy 1" u="1"/>
        <s v="Ripple Effect" u="1"/>
        <s v="Qwinix Technologies" u="1"/>
        <s v="Flix Brewhouse" u="1"/>
        <s v="High Five Events" u="1"/>
        <s v="Fund&amp;Grow" u="1"/>
        <s v="Parts Town" u="1"/>
        <s v="Circa Interactive" u="1"/>
        <s v="Holmberg Mechanical" u="1"/>
        <s v="Espee Biopharma &amp; Finechem" u="1"/>
        <s v="Automotive Avenues" u="1"/>
        <s v="Hill Technical Solutions" u="1"/>
        <s v="MJ Freeway" u="1"/>
        <s v="Yellowstone Health &amp; Rehab" u="1"/>
        <s v="Precision Staffing Services" u="1"/>
        <s v="SkuVault" u="1"/>
        <s v="Cloudnexa" u="1"/>
        <s v="Global Water Technology" u="1"/>
        <s v="Remarkable Liquids" u="1"/>
        <s v="Capstone Title" u="1"/>
        <s v="Innovecs" u="1"/>
        <s v="Landmark Properties" u="1"/>
        <s v="Cynergy Professional Systems" u="1"/>
        <s v="Optiline Enterprises" u="1"/>
        <s v="Spectra360" u="1"/>
        <s v="Threshold" u="1"/>
        <s v="SageRider" u="1"/>
        <s v="SS Equipment Holdings" u="1"/>
        <s v="Network Builders IT" u="1"/>
        <s v="Creative Homes" u="1"/>
        <s v="Eagle Point Solar" u="1"/>
        <s v="Berlin Motors - Efendos Global" u="1"/>
        <s v="Frictionless Solutions" u="1"/>
        <s v="TechAspect Solutions" u="1"/>
        <s v="Smilepoint PLLC" u="1"/>
        <s v="New Project" u="1"/>
        <s v="Dogtown Media" u="1"/>
        <s v="Cali Bamboo" u="1"/>
        <s v="Boardroom Salon for Men" u="1"/>
        <s v="Absolute Web Services" u="1"/>
        <s v="CoConstruct" u="1"/>
        <s v="Maryland Addiction Recovery Center" u="1"/>
        <s v="Arnold's Office Furniture" u="1"/>
        <s v="9Round" u="1"/>
        <s v="Onestaff Medical" u="1"/>
        <s v="Transportation One" u="1"/>
        <s v="DFPG Investments" u="1"/>
        <s v="VersaTech" u="1"/>
        <s v="Entire Productions" u="1"/>
        <s v="Book4Time" u="1"/>
        <s v="HMD Transport" u="1"/>
        <s v="Artlin Consulting" u="1"/>
        <s v="MST Solutions" u="1"/>
        <s v="Contigo Technology" u="1"/>
        <s v="Issquared" u="1"/>
        <s v="Branded Online" u="1"/>
        <s v="MediaAlpha" u="1"/>
        <s v="TRAVEL EXCLUSIVE" u="1"/>
        <s v="Strategus" u="1"/>
        <s v="Reorg" u="1"/>
        <s v="Grit Technologies" u="1"/>
        <s v="Nix Companies" u="1"/>
        <s v="MDScripts" u="1"/>
        <s v="Toro Taxes" u="1"/>
        <s v="Pinnacle Solutions" u="1"/>
        <s v="Webspec Design" u="1"/>
        <s v="Regal Pools" u="1"/>
        <s v="Logistic Dynamics" u="1"/>
        <s v="GroundWorks" u="1"/>
        <s v="beMarketing" u="1"/>
        <s v="Valintry" u="1"/>
        <s v="Revenue River" u="1"/>
        <s v="Liquid Audio" u="1"/>
        <s v="OPS Security Group" u="1"/>
        <s v="Artisan Media Group" u="1"/>
        <s v="Rastaclat" u="1"/>
        <s v="Jaguar Fueling Services" u="1"/>
        <s v="Resonance" u="1"/>
        <s v="J&amp;D Brush" u="1"/>
        <s v="Langford Allergy" u="1"/>
        <s v="Weby Corp" u="1"/>
        <s v="GatherUp" u="1"/>
        <s v="Akshaya" u="1"/>
        <s v="ProPharma Sales" u="1"/>
        <s v="AvidXchange" u="1"/>
        <s v="Becker Wright Consultants" u="1"/>
        <s v="GEM Manufacturing" u="1"/>
        <s v="Plum Creek Environmental Technologies" u="1"/>
        <s v="Skull Shaver" u="1"/>
        <s v="The Arbinger Institute" u="1"/>
        <s v="OmniPrint International" u="1"/>
        <s v="CEO Coaching International" u="1"/>
        <s v="Growth Institute" u="1"/>
        <s v="Intelligent Video Solutions" u="1"/>
        <s v="AdaptiBar" u="1"/>
        <s v="Praetorian" u="1"/>
        <s v="truDigital Signage" u="1"/>
        <s v="La Colombe Coffee Roaster" u="1"/>
        <s v="Magnolia River Services" u="1"/>
        <s v="Lenora Systems" u="1"/>
        <s v="Novasyte" u="1"/>
        <s v="SkyLine Scaffold" u="1"/>
        <s v="MillTown Plumbing, Heating, AC, and Drain Cleaning" u="1"/>
        <s v="EventSphere" u="1"/>
        <s v="Renters Warehouse Houston" u="1"/>
        <s v="Veritas Prime" u="1"/>
        <s v="ITI Communications" u="1"/>
        <s v="Casino Cash Trac" u="1"/>
        <s v="ClearPlan" u="1"/>
        <s v="Murphy Door" u="1"/>
        <s v="Raney's" u="1"/>
        <s v="Modernizing Medicine" u="1"/>
        <s v="OmegaQuant" u="1"/>
        <s v="Cloudnexion" u="1"/>
        <s v="The Nutrition Corners" u="1"/>
        <s v="Show Imaging" u="1"/>
        <s v="Pioneer Bank" u="1"/>
        <s v="Capacity" u="1"/>
        <s v="ecUtopia" u="1"/>
        <s v="LSP Technologies" u="1"/>
        <s v="ManhattanHomeDesign.com" u="1"/>
        <s v="Jahnel Group" u="1"/>
        <s v="Pipaya Partners" u="1"/>
        <s v="Teeming Vacation Rentals" u="1"/>
        <s v="JNS Media Specialists" u="1"/>
        <s v="Emergency Restoration Xperts" u="1"/>
        <s v="MedEvoke" u="1"/>
        <s v="OnPar Technologies" u="1"/>
        <s v="MediRevv" u="1"/>
        <s v="Oakman Aerospace" u="1"/>
        <s v="Azalea Health Innovations" u="1"/>
        <s v="eSquared Communication Consulting" u="1"/>
        <s v="Cubby's" u="1"/>
        <s v="Squaremouth" u="1"/>
        <s v="NRI USA" u="1"/>
        <s v="Rising Sun Farms" u="1"/>
        <s v="Adopt Technologies" u="1"/>
        <s v="BigSpeak Speakers Bureau" u="1"/>
        <s v="LSINC" u="1"/>
        <s v="Redeemers Group" u="1"/>
        <s v="Progressive Screens" u="1"/>
        <s v="Client Command" u="1"/>
        <s v="Health Catalyst" u="1"/>
        <s v="D&amp;B Elite Construction Group" u="1"/>
        <s v="Host Healthcare" u="1"/>
        <s v="Teriyaki Madness" u="1"/>
        <s v="AchieveIt" u="1"/>
        <s v="G&amp;G LED Lighting" u="1"/>
        <s v="Argotrak" u="1"/>
        <s v="The Ranger Group" u="1"/>
        <s v="Ad Results Media" u="1"/>
        <s v="Studio 11 Design" u="1"/>
        <s v="A+ Staffing" u="1"/>
        <s v="JCM Capital Investments" u="1"/>
        <s v="Real Social Dynamics" u="1"/>
        <s v="Talent Framework" u="1"/>
        <s v="MIS Solutions" u="1"/>
        <s v="Tripack" u="1"/>
        <s v="Amicon Management" u="1"/>
        <s v="Medisouth" u="1"/>
        <s v="GPS Trackit" u="1"/>
        <s v="Window Nation" u="1"/>
        <s v="SmartHouse Heating &amp; Cooling" u="1"/>
        <s v="Plus Group" u="1"/>
        <s v="Levelset" u="1"/>
        <s v="Captive Alternatives" u="1"/>
        <s v="Agilis Systems" u="1"/>
        <s v="SMP Pharmacy Solutions" u="1"/>
        <s v="USConnect" u="1"/>
        <s v="BrandNex.com" u="1"/>
        <s v="BodyHealth" u="1"/>
        <s v="Jeni's Splendid Ice Creams" u="1"/>
        <s v="Fortified Data" u="1"/>
        <s v="Grand River Aseptic Manufacturing" u="1"/>
        <s v="SADA Systems" u="1"/>
        <s v="Los Angeles Distributing Company" u="1"/>
        <s v="Boa Logistics" u="1"/>
        <s v="MediaSmack" u="1"/>
        <s v="Data Storage Science" u="1"/>
        <s v="PeerSource" u="1"/>
        <s v="Integrated Biometrics" u="1"/>
        <s v="Airosmith Development" u="1"/>
        <s v="Trio" u="1"/>
        <s v="Coldwell Banker Distinctive Properties" u="1"/>
        <s v="Collateral Management" u="1"/>
        <s v="Schadler Industrial" u="1"/>
        <s v="SSDM" u="1"/>
        <s v="Spangler Restoration" u="1"/>
        <s v="BPO USA" u="1"/>
        <s v="EGen Solutions" u="1"/>
        <s v="Golden Financial Services Debt Settlement Corp." u="1"/>
        <s v="Superior Restoration" u="1"/>
        <s v="Level 2 Legal Solutions" u="1"/>
        <s v="The Autumn Group" u="1"/>
        <s v="Hawksearch" u="1"/>
        <s v="Sales Xceleration" u="1"/>
        <s v="Athletx Sports Group" u="1"/>
        <s v="PC Age" u="1"/>
        <s v="Uncomn" u="1"/>
        <s v="Intelpath" u="1"/>
        <s v="Triad RF Systems" u="1"/>
        <s v="Katalyst Group" u="1"/>
        <s v="OnSite Oilfield Service" u="1"/>
        <s v="National Petroleum" u="1"/>
        <s v="Simply Dental Management" u="1"/>
        <s v="Poppin" u="1"/>
        <s v="Phaidon International" u="1"/>
        <s v="Tallwave" u="1"/>
        <s v="WellBiz Brands" u="1"/>
        <s v="Agency672" u="1"/>
        <s v="ISI Professional Services" u="1"/>
        <s v="OneDigital Health and Benefits" u="1"/>
        <s v="Method Architecture" u="1"/>
        <s v="Strolid" u="1"/>
        <s v="Edge Business Systems" u="1"/>
        <s v="Consumer Acquisition" u="1"/>
        <s v="Propeller" u="1"/>
        <s v="Millennium Alliance" u="1"/>
        <s v="P.R.O.S. Corporate Housing" u="1"/>
        <s v="Athena Technology Group" u="1"/>
        <s v="BattlBox" u="1"/>
        <s v="Converge Consulting" u="1"/>
        <s v="British Swim School" u="1"/>
        <s v="Abstrakt Marketing Group" u="1"/>
        <s v="Engineer.ai" u="1"/>
        <s v="Homespire Mortgage" u="1"/>
        <s v="Abode Luxury Rentals" u="1"/>
        <s v="Arixa Capital Advisors" u="1"/>
        <s v="Fathom Realty" u="1"/>
        <s v="Caldera Medical" u="1"/>
        <s v="Acuity Technologies" u="1"/>
        <s v="Symplr" u="1"/>
        <s v="Stokes &amp; Company, CPAs" u="1"/>
        <s v="Metric Theory" u="1"/>
        <s v="Enviro-Master International Franchise" u="1"/>
        <s v="Enseo" u="1"/>
        <s v="Equipment Management Group" u="1"/>
        <s v="Edlogical Group Corp" u="1"/>
        <s v="Dane Manufacturing" u="1"/>
        <s v="annLeo" u="1"/>
        <s v="Connexa" u="1"/>
        <s v="Sour Fish Events" u="1"/>
        <s v="Prime TSR" u="1"/>
        <s v="Practice Promotions" u="1"/>
        <s v="Net Conversion" u="1"/>
        <s v="Vee Technologies" u="1"/>
        <s v="Amijag" u="1"/>
        <s v="Priority Lighting" u="1"/>
        <s v="Sameday Insurance Services" u="1"/>
        <s v="Einstein Moving Company" u="1"/>
        <s v="Alight Analytics" u="1"/>
        <s v="Storebound" u="1"/>
        <s v="January Digital" u="1"/>
        <s v="Enterprise Knowledge" u="1"/>
        <s v="Proozy" u="1"/>
        <s v="Atlas Research" u="1"/>
        <s v="Nomad Financial" u="1"/>
        <s v="Aerodyne Industries" u="1"/>
        <s v="OMG Commerce" u="1"/>
        <s v="C&amp;S Communications" u="1"/>
        <s v="Heritage Group" u="1"/>
        <s v="Modern American Recycling Services" u="1"/>
        <s v="Union" u="1"/>
        <s v="Future State Consulting" u="1"/>
        <s v="On Target Health" u="1"/>
        <s v="Premier Pools and Spas - Dallas" u="1"/>
        <s v="ZoomInfo" u="1"/>
        <s v="commonFont" u="1"/>
        <s v="Progressive Freight" u="1"/>
        <s v="Rockerbox" u="1"/>
        <s v="The Hay Legal Group" u="1"/>
        <s v="Denton Floyd Real Estate Group" u="1"/>
        <s v="Reveneer" u="1"/>
        <s v="M2E" u="1"/>
        <s v="AOK RVs" u="1"/>
        <s v="JSK Transportation" u="1"/>
        <s v="A.M. Sun Solar" u="1"/>
        <s v="Sheds Direct" u="1"/>
        <s v="Sealink International" u="1"/>
        <s v="CFO Alliance" u="1"/>
        <s v="NXGN" u="1"/>
        <s v="MediSked" u="1"/>
        <s v="Full Circle Research" u="1"/>
        <s v="Updox" u="1"/>
        <s v="Tasteful Selections" u="1"/>
        <s v="REN Dermatology" u="1"/>
        <s v="NFI/Nameplates for Industry" u="1"/>
        <s v="Advantage Technology" u="1"/>
        <s v="MegaCorp Logistics" u="1"/>
        <s v="Pinnacus" u="1"/>
        <s v="S3 Builders" u="1"/>
        <s v="Hancock Claims Consultants" u="1"/>
        <s v="Repay" u="1"/>
        <s v="Pepine Realty" u="1"/>
        <s v="Fort Construction," u="1"/>
        <s v="Elite Pacific Properties" u="1"/>
        <s v="IronMountain Solutions" u="1"/>
        <s v="Coffeebar" u="1"/>
        <s v="Doodlebuggers" u="1"/>
        <s v="Careerminds" u="1"/>
        <s v="PEG Compaines" u="1"/>
        <s v="Stand Up Guys Junk Removal" u="1"/>
        <s v="Paragon Private Health" u="1"/>
        <s v="AffiniPay" u="1"/>
        <s v="AMC Bridge" u="1"/>
        <s v="Convene (New York, NY)" u="1"/>
        <s v="MarketBeat" u="1"/>
        <s v="Great Dental Websites" u="1"/>
        <s v="Environmental Protection Industries" u="1"/>
        <s v="Independent Trust Company of America" u="1"/>
        <s v="Pacific Gold Marketing" u="1"/>
        <s v="SAJJ Mediterranean" u="1"/>
        <s v="Broadreach Medical Resources" u="1"/>
        <s v="Conversant Group" u="1"/>
        <s v="All American Entertainment" u="1"/>
        <s v="CORE Consultants" u="1"/>
        <s v="Shelter" u="1"/>
        <s v="Afters Ice Cream" u="1"/>
        <s v="Passage Technology" u="1"/>
        <s v="The Westport Group" u="1"/>
        <s v="Stirista" u="1"/>
        <s v="Silver Lining Design Group" u="1"/>
        <s v="BCS CallProcessing" u="1"/>
        <s v="vTech Solution" u="1"/>
        <s v="Orbit Logic" u="1"/>
        <s v="Creative Works" u="1"/>
        <s v="AXI International Corp." u="1"/>
        <s v="Architecture Design Collaborative" u="1"/>
        <s v="SellerCloud" u="1"/>
        <s v="Koya Leadership Partners" u="1"/>
        <s v="Mike's Metal Works" u="1"/>
        <s v="New Breed Marketing" u="1"/>
        <s v="Superior Fireworks" u="1"/>
        <s v="Sweet Peach Wax &amp; Sugaring Studio" u="1"/>
        <s v="Injured Gadgets" u="1"/>
        <s v="Lake Homes Realty" u="1"/>
        <s v="Good Life Companies" u="1"/>
        <s v="Mavice" u="1"/>
        <s v="Amstill Roofing" u="1"/>
        <s v="Chantel Ray Real Estate" u="1"/>
        <s v="Pinpoint Payments" u="1"/>
        <s v="On the Map Marketing" u="1"/>
        <s v="AcctTwo Shared Services" u="1"/>
        <s v="WNA Engineering" u="1"/>
        <s v="The Basement" u="1"/>
        <s v="Georgetown Home Care" u="1"/>
        <s v="Foster Crown" u="1"/>
        <s v="Green Star Exteriors" u="1"/>
        <s v="Soundhouse Rentals" u="1"/>
        <s v="HBR Consulting" u="1"/>
        <s v="WebPT" u="1"/>
        <s v="Blue Wheel Media" u="1"/>
        <s v="Bullseye Strategy" u="1"/>
        <s v="Canvs" u="1"/>
        <s v="Anders Group" u="1"/>
        <s v="Michael Hyatt &amp; Company" u="1"/>
        <s v="Exponential Property Group" u="1"/>
        <s v="GP Flooring Solutions" u="1"/>
        <s v="Belay" u="1"/>
        <s v="Myriad Mobile" u="1"/>
        <s v="ShayCore Enterprises" u="1"/>
        <s v="Orases" u="1"/>
        <s v="ZMAC Transportation" u="1"/>
        <s v="CVP (Customer Value Partners)" u="1"/>
        <s v="Quicklotz Liquidations" u="1"/>
        <s v="LinkedSelling" u="1"/>
        <s v="Kajabi" u="1"/>
        <s v="Karsun Solutions" u="1"/>
        <s v="STP Investment Services" u="1"/>
        <s v="Less Annoying Software" u="1"/>
        <s v="keono" u="1"/>
        <s v="BisonOffice" u="1"/>
        <s v="Sullivan Engineering" u="1"/>
        <s v="Aspirent" u="1"/>
        <s v="Material Handling Services" u="1"/>
        <s v="Clutch Holdings" u="1"/>
        <s v="SkyVerge" u="1"/>
        <s v="Bell Media" u="1"/>
        <s v="Eligo Energy" u="1"/>
        <s v="Nuventra Pharma Sciences" u="1"/>
        <s v="Atlantic Blue Water Services" u="1"/>
        <s v="Skyword" u="1"/>
        <s v="Executech" u="1"/>
        <s v="Ultimate Jet Vacations" u="1"/>
        <s v="Surdi Enterprise" u="1"/>
        <s v="Clearent" u="1"/>
        <s v="A Head For Profits" u="1"/>
        <s v="Health Carousel" u="1"/>
        <s v="RR Appliance Services" u="1"/>
        <s v="PCI Group" u="1"/>
        <s v="Eclipse Brand Builders" u="1"/>
        <s v="Northern Planet" u="1"/>
        <s v="AdTheorent" u="1"/>
        <s v="Career Start" u="1"/>
        <s v="Mid America Logistics" u="1"/>
        <s v="Roz Marketing Group" u="1"/>
        <s v="GRSi" u="1"/>
        <s v="Creative Marketing Resources" u="1"/>
        <s v="Escalon Services" u="1"/>
        <s v="Franpos" u="1"/>
        <s v="Tectonic Audio Labs" u="1"/>
        <s v="JAX Refrigeration" u="1"/>
        <s v="Tridiuum" u="1"/>
        <s v="Human Element" u="1"/>
        <s v="Integrhythm" u="1"/>
        <s v="Cinergy Entertainment" u="1"/>
        <s v="CompassMSP" u="1"/>
        <s v="Apps Solutions" u="1"/>
        <s v="Fatbeam" u="1"/>
        <s v="demandDrive" u="1"/>
        <s v="Woodridge Advisors" u="1"/>
        <s v="Open Systems Healthcare" u="1"/>
        <s v="Perfusion.com" u="1"/>
        <s v="Diligent Corporation" u="1"/>
        <s v="Surefire Local" u="1"/>
        <s v="Capital Square 1031" u="1"/>
        <s v="EBQuickstart" u="1"/>
        <s v="AgileThought" u="1"/>
        <s v="Paradyme Management" u="1"/>
        <s v="JEAR Logistics" u="1"/>
        <s v="Senture" u="1"/>
        <s v="Med Tech Solutions" u="1"/>
        <s v="Property Management" u="1"/>
        <s v="Rang Technologies" u="1"/>
        <s v="Barracuda Staffing" u="1"/>
        <s v="The Surface Masters" u="1"/>
        <s v="Advanced Medical Integration" u="1"/>
        <s v="Anytime Flooring" u="1"/>
        <s v="The Kotter Group" u="1"/>
        <s v="Electrosoft Services" u="1"/>
        <s v="Myrtle Group" u="1"/>
        <s v="ReviewPush" u="1"/>
        <s v="BuybackBoss.com" u="1"/>
        <s v="OceanTech" u="1"/>
        <s v="Fluidmesh Networks" u="1"/>
        <s v="Pegasus one" u="1"/>
        <s v="Proforma Printing Systems" u="1"/>
        <s v="Solutions by Text" u="1"/>
        <s v="iQuanti" u="1"/>
        <s v="The Lockwood Group" u="1"/>
        <s v="Sentinel Sales &amp; Management" u="1"/>
        <s v="Caliber The Wealth Development Company" u="1"/>
        <s v="Chair 10 Marketing" u="1"/>
        <s v="Trinity Multifamily" u="1"/>
        <s v="Edgewater Federal Solutions" u="1"/>
        <s v="Lamb Insurance Services" u="1"/>
        <s v="YourMechanic" u="1"/>
        <s v="Criteria (Los Angeles, CA)" u="1"/>
        <s v="Patra" u="1"/>
        <s v="Project Repat" u="1"/>
        <s v="Capitol Home Health" u="1"/>
        <s v="Raare Solutions" u="1"/>
        <s v="Supplies Now" u="1"/>
        <s v="Nelson Construction and Renovations" u="1"/>
        <s v="MomentFeed" u="1"/>
        <s v="Cutting Edge Services" u="1"/>
        <s v="Chhabra Enterprises" u="1"/>
        <s v="Pless Security Incorporated" u="1"/>
        <s v="Park Place Technologies" u="1"/>
        <s v="Tin Roof Software" u="1"/>
        <s v="Netrush" u="1"/>
        <s v="OnPrem Solution Partners" u="1"/>
        <s v="ManhattanTechSupport.com" u="1"/>
        <s v="Bayless Integrated Healthcare" u="1"/>
        <s v="HydroFloTech" u="1"/>
        <s v="A Plus Garage Doors" u="1"/>
        <s v="Collision Works" u="1"/>
        <s v="Summit CPA Group" u="1"/>
        <s v="ThreatConnect" u="1"/>
        <s v="Fully Accountable" u="1"/>
        <s v="TargetPath" u="1"/>
        <s v="McCabe Construction Company" u="1"/>
        <s v="Material Handling Systems" u="1"/>
        <s v="Specialist ID" u="1"/>
        <s v="EnableComp" u="1"/>
        <s v="Incedo" u="1"/>
        <s v="One Stop Equine Shop" u="1"/>
        <s v="Key Credit Repair" u="1"/>
        <s v="Your Wealth Effect" u="1"/>
        <s v="Affordable Luxury Group" u="1"/>
        <s v="Brookstone Restoration" u="1"/>
        <s v="Avatria" u="1"/>
        <s v="Bevara Building Services" u="1"/>
        <s v="United Solutions" u="1"/>
        <s v="Ecosystem Planning and Restoration" u="1"/>
        <s v="Team Fitz Graphics" u="1"/>
        <s v="TalentBridge" u="1"/>
        <s v="Romulus Marketing" u="1"/>
        <s v="Restore Rehab Services" u="1"/>
        <s v="Murray Resources" u="1"/>
        <s v="VOX DJs" u="1"/>
        <s v="RGD" u="1"/>
        <s v="BOS Staffing" u="1"/>
        <s v="Becker's Healthcare" u="1"/>
        <s v="Elite Roofing" u="1"/>
        <s v="BlackTree Heathcare Consulting" u="1"/>
        <s v="The Neiders Company" u="1"/>
        <s v="SellYourMac.com" u="1"/>
        <s v="Tech Americas USA" u="1"/>
        <s v="NPD Logistics" u="1"/>
        <s v="Net2Source" u="1"/>
        <s v="ProTitleUSA" u="1"/>
        <s v="Grover Gaming" u="1"/>
        <s v="Adwerx" u="1"/>
        <s v="UserTesting" u="1"/>
        <s v="HumanN" u="1"/>
        <s v="O.P.E.N. America" u="1"/>
        <s v="Joorney Business Plans" u="1"/>
        <s v="Pyure Brands" u="1"/>
        <s v="TruQua Enterprises" u="1"/>
        <s v="Food52" u="1"/>
        <s v="Tallahassee Rock Real Estate" u="1"/>
        <s v="T. Parker Host" u="1"/>
        <s v="BBQ Guy's Manufacturing" u="1"/>
        <s v="Happy Trailer Sales" u="1"/>
        <s v="JMC Equipment" u="1"/>
        <s v="T3 Expo" u="1"/>
        <s v="Downeast Cider House" u="1"/>
        <s v="Syntelligent Analytic Solutions" u="1"/>
        <s v="Deep Blue Communications" u="1"/>
        <s v="Test Double" u="1"/>
        <s v="GeBBS Healthcare Solutions" u="1"/>
        <s v="Semcasting" u="1"/>
        <s v="Takeout Central" u="1"/>
        <s v="Mind Your Business" u="1"/>
        <s v="Bolt on Technology" u="1"/>
        <s v="Synapse Studios" u="1"/>
        <s v="College Hunks Hauling Junk and Moving (Tampa, FL)" u="1"/>
        <s v="Mansfield Crane Service" u="1"/>
        <s v="EmazingLights / iHeartRaves / Into the AM" u="1"/>
        <s v="Trintech" u="1"/>
        <s v="SomerTile" u="1"/>
        <s v="B&amp;B Heating and Air" u="1"/>
        <s v="BCV Social" u="1"/>
        <s v="Tricap Residential Group" u="1"/>
        <s v="NetX Information Systems" u="1"/>
        <s v="Experion Technologies" u="1"/>
        <s v="True Inspection Services" u="1"/>
        <s v="GotUwired" u="1"/>
        <s v="Master Medical Equipment" u="1"/>
        <s v="Greenway Insurance" u="1"/>
        <s v="Prolific Interactive" u="1"/>
        <s v="Berry Law Firm" u="1"/>
        <s v="Dealer World" u="1"/>
        <s v="Marketing Doctor" u="1"/>
        <s v="Petrelli Previtera Schimmel" u="1"/>
        <s v="Modus Create" u="1"/>
        <s v="Miracle Mile Advisors" u="1"/>
        <s v="Elev8 Hire Solutions" u="1"/>
        <s v="NCWC" u="1"/>
        <s v="Neal&amp;Neal Team" u="1"/>
        <s v="A1C Partners" u="1"/>
        <s v="Homeland Manufacturing Services" u="1"/>
        <s v="inTech Trailers" u="1"/>
        <s v="ALKU" u="1"/>
        <s v="Fit My Feet Orthotic Lab and Shoes" u="1"/>
        <s v="Instasize" u="1"/>
        <s v="Kahn Media" u="1"/>
        <s v="DoHardMoney.com" u="1"/>
        <s v="Appreciation Financial" u="1"/>
        <s v="Monogram Windows and Doors" u="1"/>
        <s v="New Vision" u="1"/>
        <s v="Biomedical Research Laboratories" u="1"/>
        <s v="Cambria Solutions" u="1"/>
        <s v="STS International" u="1"/>
        <s v="Globo" u="1"/>
        <s v="South Bay Hot Yoga" u="1"/>
        <s v="Unity FI Solutions" u="1"/>
        <s v="Skaled Consulting" u="1"/>
        <s v="The Network Pro" u="1"/>
        <s v="Aspen Exteriors" u="1"/>
        <s v="Maxey Trailers Mfg." u="1"/>
        <s v="Clark Bros." u="1"/>
        <s v="Metro Stars Gymnastics" u="1"/>
        <s v="Aerospace Quality Research and Development" u="1"/>
        <s v="Blink Fitness" u="1"/>
        <s v="Digital Pi" u="1"/>
        <s v="Mobile Outfitters" u="1"/>
        <s v="Threat Tec" u="1"/>
        <s v="North American Payment Solutions" u="1"/>
        <s v="CS Recruiting" u="1"/>
        <s v="Feury Image Group" u="1"/>
        <s v="LIDO ADVISORS" u="1"/>
        <s v="RNN Group" u="1"/>
        <s v="TFS" u="1"/>
        <s v="Choice Merchant Solutions" u="1"/>
        <s v="All Pro Security" u="1"/>
        <s v="Streamline" u="1"/>
        <s v="Salas O'Brien" u="1"/>
        <s v="BNG Team" u="1"/>
        <s v="Vinyl Me, Please" u="1"/>
        <s v="Klein Hall CPAs" u="1"/>
        <s v="Touchstone Merchandise Group" u="1"/>
        <s v="DEG" u="1"/>
        <s v="Phobio" u="1"/>
        <s v="KitchenSearch.com" u="1"/>
        <s v="Transportation Impact" u="1"/>
        <s v="Great Waters Financial" u="1"/>
        <s v="Turbonomic" u="1"/>
        <s v="FCM" u="1"/>
        <s v="Momentum Solutionz" u="1"/>
        <s v="Perceptyx" u="1"/>
        <s v="Info Way Solutions" u="1"/>
        <s v="InterImage" u="1"/>
        <s v="VitalWare" u="1"/>
        <s v="Tundraland Home Improvements" u="1"/>
        <s v="RMG Media" u="1"/>
        <s v="Maui Leones" u="1"/>
        <s v="PayDay Payroll Resources" u="1"/>
        <s v="Broadline Components" u="1"/>
        <s v="Appogee" u="1"/>
        <s v="Prominent Construction" u="1"/>
        <s v="SEI-New York" u="1"/>
        <s v="Cipher Tech Solutions" u="1"/>
        <s v="Delta Solutions &amp; Strategies" u="1"/>
        <s v="Applied Technology Services" u="1"/>
        <s v="ZochNet" u="1"/>
        <s v="iTouchless.com" u="1"/>
        <s v="Rain City Capital" u="1"/>
        <s v="Greenland America" u="1"/>
        <s v="Derm Holdings" u="1"/>
        <s v="Computer Overhauls" u="1"/>
        <s v="Staylisted" u="1"/>
        <s v="Validation Associates" u="1"/>
        <s v="North Pacific Industries" u="1"/>
        <s v="Whois API" u="1"/>
        <s v="Corsis" u="1"/>
        <s v="Techfino" u="1"/>
        <s v="ProConstruction" u="1"/>
        <s v="Maximum Games" u="1"/>
        <s v="HSTpathways" u="1"/>
        <s v="Bar-All" u="1"/>
        <s v="Bounteous" u="1"/>
        <s v="Culture Studio" u="1"/>
        <s v="DiamondBack Truck Covers" u="1"/>
        <s v="Eight Bit Studios" u="1"/>
        <s v="ClickDimensions" u="1"/>
        <s v="Altura Engineering &amp; Design" u="1"/>
        <s v="Freedom Capital" u="1"/>
        <s v="Alarm Grid" u="1"/>
        <s v="Precision Precast Erectors" u="1"/>
        <s v="APS Marketing Group" u="1"/>
        <s v="Boxwell Southwest" u="1"/>
        <s v="TLC Associates" u="1"/>
        <s v="E-Volve Systems" u="1"/>
        <s v="Cogent Analytics" u="1"/>
        <s v="MKS2 Technologies" u="1"/>
        <s v="Hoss Industrial" u="1"/>
        <s v="Healthcare IT Leaders" u="1"/>
        <s v="Rekruiters" u="1"/>
        <s v="Stoneridge Software" u="1"/>
        <s v="Centex Technologies" u="1"/>
        <s v="Platinum Realty" u="1"/>
        <s v="Phoenix Marketing International" u="1"/>
        <s v="Best Deal Car Service" u="1"/>
        <s v="Survwest" u="1"/>
        <s v="Swarm" u="1"/>
        <s v="Nebo" u="1"/>
        <s v="i3" u="1"/>
        <s v="Marshall Scientific" u="1"/>
        <s v="JSL Technologies" u="1"/>
        <s v="LUX Catering &amp; Events" u="1"/>
        <s v="Above All Transportation/ Boston Car Service" u="1"/>
        <s v="Durante Rentals" u="1"/>
        <s v="Morgan Li" u="1"/>
        <s v="The Junkluggers" u="1"/>
        <s v="Framework Solutions" u="1"/>
        <s v="Chief Outsiders" u="1"/>
        <s v="Arcadia.io" u="1"/>
        <s v="Rockwell Partners" u="1"/>
        <s v="Cleanlife LED" u="1"/>
        <s v="Gorgo Group" u="1"/>
        <s v="Vigilant Global Trade Services" u="1"/>
        <s v="Xtelligent Healthcare Media" u="1"/>
        <s v="acquisitionsandrenewals.com" u="1"/>
        <s v="Visual Connections" u="1"/>
        <s v="WebIT Services" u="1"/>
        <s v="CaliChi Design Group" u="1"/>
        <s v="Rescue | The Behavior Change Agency" u="1"/>
        <s v="Budget Dumpster" u="1"/>
        <s v="Riverside Payments" u="1"/>
        <s v="Bellwether Asset Management" u="1"/>
        <s v="Mobilewalla" u="1"/>
        <s v="Cantey Technology" u="1"/>
        <s v="HHAeXchange" u="1"/>
        <s v="The Saywitz Company" u="1"/>
        <s v="Bayone Solutions" u="1"/>
        <s v="SmarterHQ" u="1"/>
        <s v="OpenWater Software" u="1"/>
        <s v="G Adventures" u="1"/>
        <s v="Plenus Group" u="1"/>
        <s v="Medical Weight Loss by Healthogenics" u="1"/>
        <s v="InsureYourCompany.com" u="1"/>
        <s v="Simon Transport" u="1"/>
        <s v="Beverly Hills Rejuvenation Center" u="1"/>
        <s v="SmartSites" u="1"/>
        <s v="Transportation and Logistical Services" u="1"/>
        <s v="Logistics Plus" u="1"/>
        <s v="Search Solution Group" u="1"/>
        <s v="Meriwether &amp; Tharp" u="1"/>
        <s v="CI&amp;T" u="1"/>
        <s v="Elements Massage" u="1"/>
        <s v="Renatus" u="1"/>
        <s v="Parkmobile" u="1"/>
        <s v="iKeyless" u="1"/>
        <s v="VLK Architects" u="1"/>
        <s v="Katom Restaurant Supply" u="1"/>
        <s v="Royal Vending" u="1"/>
        <s v="WLE" u="1"/>
        <s v="Quality Engineering &amp; Surveying" u="1"/>
        <s v="Keeping Current Matters" u="1"/>
        <s v="HomeCare Connect" u="1"/>
        <s v="Mission Driven Research" u="1"/>
        <s v="Brown Parker &amp; DeMarinis Advertising" u="1"/>
        <s v="Lendr" u="1"/>
        <s v="Flow Right Plumbing, Heating &amp; Cooling" u="1"/>
        <s v="Erben Associates" u="1"/>
        <s v="AmeriPharma" u="1"/>
        <s v="First National Title Insurance Company" u="1"/>
        <s v="Ripple" u="1"/>
        <s v="TWG Security" u="1"/>
        <s v="D&amp;B Precision Cutting and Manufacturing" u="1"/>
        <s v="Triumph Services" u="1"/>
        <s v="Gant Systems" u="1"/>
        <s v="Studio98" u="1"/>
        <s v="Boomsourcing" u="1"/>
        <s v="BirdDogHR" u="1"/>
        <s v="Texadia Systems" u="1"/>
        <s v="thomastech" u="1"/>
        <s v="ROI Healthcare Solutions" u="1"/>
        <s v="Output" u="1"/>
        <s v="CTE Logistics" u="1"/>
        <s v="Level Access" u="1"/>
        <s v="California CareGivers Home Healthcare" u="1"/>
        <s v="Excella Consulting" u="1"/>
        <s v="How to Manage a Small Law Firm" u="1"/>
        <s v="The Auxiliary Group" u="1"/>
        <s v="Weisser Distributing" u="1"/>
        <s v="Snap Agency" u="1"/>
        <s v="American Insurance Organization" u="1"/>
        <s v="Mayvin" u="1"/>
        <s v="Sustainable Restaurant Group" u="1"/>
        <s v="The Sheppard" u="1"/>
        <s v="Wheelhouse DMG" u="1"/>
        <s v="Alpha Paving Industries" u="1"/>
        <s v="GreenBanana SEO" u="1"/>
        <s v="Singleton Enterprises" u="1"/>
        <s v="Engage PEO" u="1"/>
        <s v="Delta Defense" u="1"/>
        <s v="Developintelligence" u="1"/>
        <s v="Roofcare" u="1"/>
        <s v="Select Security" u="1"/>
        <s v="Real People Realty" u="1"/>
        <s v="TruePoint Communications" u="1"/>
        <s v="SketchDeck" u="1"/>
        <s v="Tiempo Development" u="1"/>
        <s v="ConnectPay" u="1"/>
        <s v="Promoboxx" u="1"/>
        <s v="Pondurance" u="1"/>
        <s v="Four Foods Group" u="1"/>
        <s v="Advanced Flooring" u="1"/>
        <s v="Filterworks USA" u="1"/>
        <s v="Fonteva" u="1"/>
        <s v="Fors Marsh Group" u="1"/>
        <s v="The Nines" u="1"/>
        <s v="HMT Associates" u="1"/>
        <s v="US Patriot" u="1"/>
        <s v="nLogic" u="1"/>
        <s v="Docmation" u="1"/>
        <s v="Patriot Pool and Spa" u="1"/>
        <s v="Downtown Catering Company" u="1"/>
        <s v="PowerReviews" u="1"/>
        <s v="Local Marketing Solutions Group" u="1"/>
        <s v="Evans Incorporated" u="1"/>
        <s v="Design Extensions" u="1"/>
        <s v="Bold Construction" u="1"/>
        <s v="ReedTMS Logistics" u="1"/>
        <s v="Sales Empowerment Group" u="1"/>
        <s v="MarkSYS" u="1"/>
        <s v="IT Support RI" u="1"/>
        <s v="Excel Services" u="1"/>
        <s v="Keyser" u="1"/>
        <s v="Cutting Edge Countertops" u="1"/>
        <s v="Aventri" u="1"/>
        <s v="Erus Energy" u="1"/>
        <s v="Accucomp Appraisal Services" u="1"/>
        <s v="Envisage" u="1"/>
        <s v="Buzz Franchise Brands" u="1"/>
        <s v="Kyriba" u="1"/>
        <s v="Schaal Plumbing, Heating &amp; Cooling" u="1"/>
        <s v="Southeast Veterinary Neurology" u="1"/>
        <s v="Upper Edge Technologies" u="1"/>
        <s v="Spire Digital" u="1"/>
        <s v="EPIC Insurance Brokers &amp; Consultants" u="1"/>
        <s v="Axiom Eco Pest Control" u="1"/>
        <s v="FedBiz IT Solutions" u="1"/>
        <s v="Local Loyalty Marketing Solutions NC" u="1"/>
        <s v="Edge" u="1"/>
        <s v="Alpha Premier" u="1"/>
        <s v="Jack Browns Joint" u="1"/>
        <s v="Sandler Partners" u="1"/>
        <s v="EngeniusMicro" u="1"/>
        <s v="Enscicon" u="1"/>
        <s v="Janus International Group" u="1"/>
        <s v="Kumparison" u="1"/>
        <s v="RxNT" u="1"/>
        <s v="MileMark Media" u="1"/>
        <s v="SleepQuest" u="1"/>
        <s v="CardioSolution" u="1"/>
        <s v="Abenity" u="1"/>
        <s v="Echo Health" u="1"/>
        <s v="Rank Crankers" u="1"/>
        <s v="Mojo Media Labs" u="1"/>
        <s v="Engelke Construction Solutions" u="1"/>
        <s v="Silverline" u="1"/>
        <s v="Heartsmart.com" u="1"/>
        <s v="Xyngular" u="1"/>
        <s v="CollabraLink Technologies" u="1"/>
        <s v="Score a Score" u="1"/>
        <s v="APIC Solutions" u="1"/>
        <s v="Portable Oxygen Solutions" u="1"/>
        <s v="Agile Velocity" u="1"/>
        <s v="Reflex Sales Group" u="1"/>
        <s v="OAC Services" u="1"/>
        <s v="Culinary Eye Catering and Events" u="1"/>
        <s v="Payroll4Construction.com" u="1"/>
        <s v="Great Hire" u="1"/>
        <s v="Union Home Mortgage" u="1"/>
        <s v="TDK Technologies" u="1"/>
        <s v="Prosper Consulting" u="1"/>
        <s v="InfraWare" u="1"/>
        <s v="Owen Jones and Partners" u="1"/>
        <s v="Objectstream" u="1"/>
        <s v="Chemlock Nutrition" u="1"/>
        <s v="Nomadic Real Estate" u="1"/>
        <s v="Keller Williams Realty Capital District" u="1"/>
        <s v="Sunrise Erectors" u="1"/>
        <s v="Lindmark Outdoor Media" u="1"/>
        <s v="Doberman Technologies" u="1"/>
        <s v="LA Solar Group" u="1"/>
        <s v="AR Solutions" u="1"/>
        <s v="Kopis" u="1"/>
        <s v="Yes&amp;" u="1"/>
        <s v="Aligne Wealth Preservation &amp; Insurance Services" u="1"/>
        <s v="365 Retail Markets" u="1"/>
        <s v="Virtus Partners" u="1"/>
        <s v="Snap Install" u="1"/>
        <s v="FirstClose" u="1"/>
        <s v="Ecotone" u="1"/>
        <s v="Shaw + Scott" u="1"/>
        <s v="Busch Global" u="1"/>
        <s v="Protocol Networks" u="1"/>
        <s v="R &amp; Y A/C Compressors" u="1"/>
        <s v="The Cutting Board Company" u="1"/>
        <s v="SiteLock" u="1"/>
        <s v="The Indigo Road Hospitality Group" u="1"/>
        <s v="Siteline Interior Carpentry" u="1"/>
        <s v="FCP Euro" u="1"/>
        <s v="Sophus IT Solutions" u="1"/>
        <s v="Crimcheck Holdings" u="1"/>
        <s v="US" u="1"/>
        <s v="Miguel Lopez Jr." u="1"/>
        <s v="Stream Logistics" u="1"/>
        <s v="Allegheny Science &amp; Technology" u="1"/>
        <s v="Romaric Automation Design" u="1"/>
        <s v="Marathon TS" u="1"/>
        <s v="Cummings Creative Group" u="1"/>
        <s v="Claimify (formerly Lucens Group)" u="1"/>
        <s v="Ruby Receptionists" u="1"/>
        <s v="Bay State Search" u="1"/>
        <s v="TechLink Services" u="1"/>
        <s v="Decisiv" u="1"/>
        <s v="Bay to Bay Properties" u="1"/>
        <s v="MYCA Material Handling Solutions" u="1"/>
        <s v="Pillar Properties" u="1"/>
        <s v="Swift Straw II" u="1"/>
        <s v="Mid America Pet Food" u="1"/>
        <s v="Maantic" u="1"/>
        <s v="Paragon Healthcare" u="1"/>
        <s v="ten24" u="1"/>
        <s v="Grassburger" u="1"/>
        <s v="The Haro Group of Keller Williams Real Estate" u="1"/>
        <s v="Media Bridge Advertising" u="1"/>
        <s v="Golden Reserve" u="1"/>
        <s v="Distrivalto USA / Holstein Housewares" u="1"/>
        <s v="HispaniSpace" u="1"/>
        <s v="PrinterLogic" u="1"/>
        <s v="Rockway Exhibits + Events" u="1"/>
        <s v="HigherGround Managed Services" u="1"/>
        <s v="Tidewater Fleet Supply" u="1"/>
        <s v="Medical Solutions" u="1"/>
        <s v="Bean Group" u="1"/>
        <s v="RevLocal" u="1"/>
        <s v="Brink" u="1"/>
        <s v="Allixo" u="1"/>
        <s v="Rentec Direct" u="1"/>
        <s v="Professional Enrollment Concepts" u="1"/>
        <s v="Qiigo" u="1"/>
        <s v="Chrome River" u="1"/>
        <s v="Sender One Climbing" u="1"/>
        <s v="Jane.com" u="1"/>
        <s v="Lumiere Children's Therapy" u="1"/>
        <s v="Affiliated Communications dba Alert Communications" u="1"/>
        <s v="City Brew Tours" u="1"/>
        <s v="Mountain Showcase Group" u="1"/>
        <s v="Business IT Source" u="1"/>
        <s v="Advanced Powder Products" u="1"/>
        <s v="Fab-Tec" u="1"/>
        <s v="Conti" u="1"/>
        <s v="Facility Systems" u="1"/>
        <s v="Halco Testing Services" u="1"/>
        <s v="Search Discovery" u="1"/>
        <s v="Competitive Health" u="1"/>
        <s v="Unlimited Landscaping &amp; Turf Management" u="1"/>
        <s v="EvolveMKD" u="1"/>
        <s v="Premier Networx" u="1"/>
        <s v="AvAir" u="1"/>
        <s v="Aqua-Yield Operations" u="1"/>
        <s v="Circle Computer Resources" u="1"/>
        <s v="Vandelay Education" u="1"/>
        <s v="Open Source Integrators" u="1"/>
        <s v="Zulu Marketing" u="1"/>
        <s v="Laketown Electric" u="1"/>
        <s v="Tri Tower Telecom" u="1"/>
        <s v="SecureLink" u="1"/>
        <s v="Stamford Technology Solutions" u="1"/>
        <s v="Axispoint" u="1"/>
        <s v="Mattingly Concrete" u="1"/>
        <s v="IT Partners (Bethel Park, PA)" u="1"/>
        <s v="StateServ-Hospicelink" u="1"/>
        <s v="Activate Marketing Services" u="1"/>
        <s v="Chesapeake Plumbing &amp; Heating" u="1"/>
        <s v="IT Management Corporation" u="1"/>
        <s v="Dogtopia Enterprises" u="1"/>
        <s v="Modality Solutions" u="1"/>
        <s v="Light Dental Studios" u="1"/>
        <s v="Ovative Group" u="1"/>
        <s v="Southwest Antennas" u="1"/>
        <s v="McKay Advertising + Activation" u="1"/>
        <s v="LS Systems" u="1"/>
        <s v="Dream Local Digital" u="1"/>
        <s v="Lamacchia Realty" u="1"/>
        <s v="Rice Insurance" u="1"/>
        <s v="Relief-Mart" u="1"/>
        <s v="The Music Room" u="1"/>
        <s v="Redhorse" u="1"/>
        <s v="Cohen &amp; Company" u="1"/>
        <s v="MKD Electric" u="1"/>
        <s v="Accelogix" u="1"/>
        <s v="Deep Well Services" u="1"/>
        <s v="Wellworks For You" u="1"/>
        <s v="Cambria Investment Management, LP" u="1"/>
        <s v="eLearningBrothers" u="1"/>
        <s v="ImagineSoftware" u="1"/>
        <s v="Odyssey Systems Consulting Group" u="1"/>
        <s v="ActualTech Media" u="1"/>
        <s v="Vivax Pros" u="1"/>
        <s v="Day Translations" u="1"/>
        <s v="Pacific Energy Concepts" u="1"/>
        <s v="SHARP MEDICAL STAFFING" u="1"/>
        <s v="LMG" u="1"/>
        <s v="Norman Heating &amp; Air Conditioning" u="1"/>
        <s v="TR MILLER HEATING &amp; COOLING" u="1"/>
        <s v="FATHOM (Oakland, CA)" u="1"/>
        <s v="Bulu" u="1"/>
        <s v="Darkblade Systems" u="1"/>
        <s v="Energy Fitness" u="1"/>
        <s v="Medical B &amp; T services" u="1"/>
        <s v="Blue Chip Talent" u="1"/>
        <s v="ProMedia" u="1"/>
        <s v="Insight Sourcing Group" u="1"/>
        <s v="Mighty 8th Media" u="1"/>
        <s v="Knight Federal Solutions" u="1"/>
        <s v="Alegiant Services,LLC" u="1"/>
        <s v="Nuspire" u="1"/>
        <s v="Datavail" u="1"/>
        <s v="Intero Real Estate Services" u="1"/>
        <s v="Coastal Payroll" u="1"/>
        <s v="Pet Assure Corp" u="1"/>
        <s v="J&amp;B Pallet" u="1"/>
        <s v="Levitate Media" u="1"/>
        <s v="PaySphere Payroll &amp; HR" u="1"/>
        <s v="Nekter Juice Bar" u="1"/>
        <s v="Intellectual Capitol" u="1"/>
        <s v="All Industrial Tool Supply" u="1"/>
        <s v="Adaptive Nursing and Healthcare Services" u="1"/>
        <s v="DKBinnovative" u="1"/>
        <s v="Clason Point Partners" u="1"/>
        <s v="Classy Art" u="1"/>
        <s v="Mommy's Bliss" u="1"/>
        <s v="TorchLight Hire" u="1"/>
        <s v="Cinch IT" u="1"/>
        <s v="Division-D" u="1"/>
        <s v="GC Realty &amp; Development" u="1"/>
        <s v="Lee's Air Conditioning, Heating &amp; Building Performance" u="1"/>
        <s v="Power Design" u="1"/>
        <s v="Core Nutritionals" u="1"/>
        <s v="People's Television" u="1"/>
        <s v="Premier Pools and Spas" u="1"/>
        <s v="de Jong Duke" u="1"/>
        <s v="Cadence Communications and Research" u="1"/>
        <s v="Stratus Building Solutions" u="1"/>
        <s v="Secure One Capital" u="1"/>
        <s v="The Predictive Index" u="1"/>
        <s v="ScribeAmerica" u="1"/>
        <s v="Dynamics Resources" u="1"/>
        <s v="Succession Resource Group" u="1"/>
        <s v="Intrust Funding" u="1"/>
        <s v="Providence Care" u="1"/>
        <s v="Complete Network" u="1"/>
        <s v="A+ Derr Heating and Cooling" u="1"/>
        <s v="Bandwave Systems" u="1"/>
        <s v="Systems Integration" u="1"/>
        <s v="Renters Warehouse" u="1"/>
        <s v="The Agency" u="1"/>
        <s v="Open Systems Technologies" u="1"/>
        <s v="Tane" u="1"/>
        <s v="Aspen Systems" u="1"/>
        <s v="Thornhill" u="1"/>
        <s v="Obility" u="1"/>
        <s v="Precision Measurement Engineering" u="1"/>
        <s v="Laritech" u="1"/>
        <s v="FOR" u="1"/>
        <s v="Tom Ferry" u="1"/>
        <s v="EMD Strategies" u="1"/>
        <s v="Century Business Solutions: EBizCharge" u="1"/>
        <s v="Rabbit Air" u="1"/>
        <s v="The Dagit Group" u="1"/>
        <s v="King Memory" u="1"/>
        <s v="Scott Brown Media Group" u="1"/>
        <s v="Government Marketing" u="1"/>
        <s v="Sanmejio" u="1"/>
        <s v="Benchworks" u="1"/>
        <s v="Go-Forth Pest Control" u="1"/>
        <s v="WMK" u="1"/>
        <s v="Placers" u="1"/>
        <s v="USSC Group" u="1"/>
        <s v="Mailchimp" u="1"/>
        <s v="Atlantic Petroleum" u="1"/>
        <s v="Arch-Con Construction" u="1"/>
        <s v="LLamasoft" u="1"/>
        <s v="Zenetex" u="1"/>
        <s v="Targeted Pet Treats" u="1"/>
        <s v="Generation Iron Brands" u="1"/>
        <s v="Computer Enterprises" u="1"/>
        <s v="TeleSolv Consulting" u="1"/>
        <s v="PolicyPak" u="1"/>
        <s v="WebFX" u="1"/>
        <s v="All Points Broadband" u="1"/>
        <s v="Ruoff Home Mortgage" u="1"/>
        <s v="Premier Orthodontic Specialists" u="1"/>
        <s v="ADSG" u="1"/>
        <s v="EQ1 Real Estate" u="1"/>
        <s v="The ASK Method Company" u="1"/>
        <s v="PM Hotel Group" u="1"/>
        <s v="Tucker-Rose Associates" u="1"/>
        <s v="Intermountain Audiology Hearing and Brain Clinics" u="1"/>
        <s v="Lightfoot Mechanical" u="1"/>
        <s v="Closet America" u="1"/>
        <s v="AltSource" u="1"/>
        <s v="Skyline Builders" u="1"/>
        <s v="Keen Decision Systems" u="1"/>
        <s v="Asurint" u="1"/>
        <s v="Healthy Spot" u="1"/>
        <s v="ConveyIQ" u="1"/>
        <s v="Builder's Choice" u="1"/>
        <s v="The Spur Group" u="1"/>
        <s v="Buildium" u="1"/>
        <s v="ARGI Financial Group" u="1"/>
        <s v="Giltner Logistics" u="1"/>
        <s v="ABCO Systems" u="1"/>
        <s v="AVIO Consulting" u="1"/>
        <s v="Gateway Mortgage Group" u="1"/>
        <s v="Averhealth" u="1"/>
        <s v="Titus Talent Strategies" u="1"/>
        <s v="Backblaze" u="1"/>
        <s v="Reveleer" u="1"/>
        <s v="Seek Thermal" u="1"/>
        <s v="Johnson Consulting Group" u="1"/>
        <s v="Optomi" u="1"/>
        <s v="Optimum Employer Solutions" u="1"/>
        <s v="Avanath Capital Management" u="1"/>
        <s v="Simulation Technologies" u="1"/>
        <s v="B-Unlimited" u="1"/>
        <s v="Alliance Executive Search" u="1"/>
        <s v="Mid Valley IT" u="1"/>
        <s v="BridgePoint Construction" u="1"/>
        <s v="DECA Dental Group" u="1"/>
        <s v="Mediafly" u="1"/>
        <s v="Greenview Lawns" u="1"/>
        <s v="Binc" u="1"/>
        <s v="Verblio" u="1"/>
        <s v="Bedroc" u="1"/>
        <s v="Status Labs" u="1"/>
        <s v="Sterling Site Access Solutions" u="1"/>
        <s v="Assisting Hands Home Care" u="1"/>
        <s v="Interactive Entertainment Group" u="1"/>
        <s v="Hydra-Flex" u="1"/>
        <s v="Watters International Realty" u="1"/>
        <s v="MassPay" u="1"/>
        <s v="Convergint Technologies" u="1"/>
        <s v="Blue Door Consulting" u="1"/>
        <s v="Mail Shark" u="1"/>
        <s v="OptiFuse" u="1"/>
        <s v="Poulton Associates" u="1"/>
        <s v="Hire Dynamics" u="1"/>
        <s v="iCIMS" u="1"/>
        <s v="Dermacare Hampton Roads" u="1"/>
        <s v="Aladtec" u="1"/>
        <s v="Bodycentral Physical Therapy" u="1"/>
        <s v="Curriculum Associates" u="1"/>
        <s v="Fingerpaint" u="1"/>
        <s v="Prosek Partners" u="1"/>
        <s v="Walker Sands" u="1"/>
        <s v="Mabbett &amp; Associates" u="1"/>
        <s v="Dom &amp; Tom" u="1"/>
        <s v="Rock The House Entertainment" u="1"/>
        <s v="Incapsulate" u="1"/>
        <s v="Dominion Payroll" u="1"/>
        <s v="The Hennessey Group" u="1"/>
        <s v="Freeit Data Solutions" u="1"/>
        <s v="W Services Group" u="1"/>
        <s v="All Filters" u="1"/>
        <s v="Intercontinental Capital Group" u="1"/>
        <s v="Arctic Supplies" u="1"/>
        <s v="Dfuse Technologies" u="1"/>
        <s v="Culver Equipment" u="1"/>
        <s v="HomeVestors of America" u="1"/>
        <s v="Women Rocking Business" u="1"/>
        <s v="Building Engines" u="1"/>
        <s v="S2 IT Group" u="1"/>
        <s v="ePelican.com" u="1"/>
        <s v="Clean Energy Solutions" u="1"/>
        <s v="Vennli" u="1"/>
        <s v="Arcos" u="1"/>
        <s v="Home Health Companions" u="1"/>
        <s v="Catchpoint" u="1"/>
        <s v="Greenphire" u="1"/>
        <s v="Elite Core Enterprises" u="1"/>
        <s v="PM Pediatrics" u="1"/>
        <s v="Forever.com" u="1"/>
        <s v="Mercury Mosaics" u="1"/>
        <s v="Wellen Capital" u="1"/>
        <s v="Archgate TMS Solutions" u="1"/>
        <s v="INCATech" u="1"/>
        <s v="Broadleaf Commerce" u="1"/>
        <s v="Tevora" u="1"/>
        <s v="Distritech" u="1"/>
        <s v="Service Direct" u="1"/>
        <s v="Network Optix" u="1"/>
        <s v="Linden Construction of South Carolina" u="1"/>
        <s v="Propio Language Services" u="1"/>
        <s v="BioPoint" u="1"/>
        <s v="SynergyLabs" u="1"/>
        <s v="Aqueduct Technologies" u="1"/>
        <s v="Heavy Equipment Colleges of America" u="1"/>
        <s v="REI Automation" u="1"/>
        <s v="MRO" u="1"/>
        <s v="ASP-America's Swimming Pool Company" u="1"/>
        <s v="Convert IT Marketing" u="1"/>
        <s v="Asset Based Lending" u="1"/>
        <s v="Mindoula" u="1"/>
        <s v="AccuReg Software" u="1"/>
        <s v="Rockland Insurance Agency" u="1"/>
        <s v="CloudMyBiz" u="1"/>
        <s v="Geocent" u="1"/>
        <s v="Colarelli Construction" u="1"/>
        <s v="TeamLogic IT" u="1"/>
        <s v="RTM Engineering Consultants" u="1"/>
        <s v="Sioux Falls Tower Specialists" u="1"/>
        <s v="Resource Environmental Solutions" u="1"/>
        <s v="Interactions" u="1"/>
        <s v="Vizzia Technologies" u="1"/>
        <s v="StickerGiant" u="1"/>
        <s v="Printfection" u="1"/>
        <s v="Appraisal Nation" u="1"/>
        <s v="Fortis Riders" u="1"/>
        <s v="Ampcus" u="1"/>
        <s v="Shore Funding Solutions" u="1"/>
        <s v="Stevens Trucking" u="1"/>
        <s v="Business Promotion" u="1"/>
        <s v="Viralstyle.com" u="1"/>
        <s v="NEWPRO operating" u="1"/>
        <s v="Brandito" u="1"/>
        <s v="Mercer Advisors" u="1"/>
        <s v="Museum Hack" u="1"/>
        <s v="Protex Restaurant Services" u="1"/>
        <s v="ASP Global" u="1"/>
        <s v="Stewardship Investments" u="1"/>
        <s v="Man-Machine Systems Assessment" u="1"/>
        <s v="Coldwell Solar" u="1"/>
        <s v="Kalles Group" u="1"/>
        <s v="Workfront" u="1"/>
        <s v="Formulife" u="1"/>
        <s v="Chelsoft Solutions" u="1"/>
        <s v="Dallas Unique Indoor Comfort" u="1"/>
        <s v="Exterior Medics" u="1"/>
        <s v="Concierge Cleaning Services" u="1"/>
        <s v="Vital" u="1"/>
        <s v="Java Connections" u="1"/>
        <s v="Keller Logistics" u="1"/>
        <s v="Frank Surveying Co" u="1"/>
        <s v="Frontline Source Group" u="1"/>
        <s v="IGNW" u="1"/>
        <s v="Perfect Water Technologies" u="1"/>
        <s v="CMT Services" u="1"/>
        <s v="Cross Media Corporation" u="1"/>
        <s v="Pure Adapt" u="1"/>
        <s v="American Builders" u="1"/>
        <s v="Dash2 Group" u="1"/>
        <s v="PayNorthwest" u="1"/>
        <s v="Epic Freight Solutions" u="1"/>
        <s v="Limeade" u="1"/>
        <s v="eROI" u="1"/>
        <s v="Dreamstyle Remodeling" u="1"/>
        <s v="EideCom" u="1"/>
        <s v="Forshay" u="1"/>
        <s v="Online Rewards" u="1"/>
        <s v="Lexicon Solutions" u="1"/>
        <s v="Differential" u="1"/>
        <s v="The Abbi Agency" u="1"/>
        <s v="Cerdant" u="1"/>
        <s v="Sabre88" u="1"/>
        <s v="Sawyer Manufacturing Company" u="1"/>
        <s v="Maxton &amp; Company" u="1"/>
        <s v="Bali Construction" u="1"/>
        <s v="National Funding" u="1"/>
        <s v="Performance Plus Carts" u="1"/>
        <s v="RJR Partners" u="1"/>
        <s v="Apollo Interactive" u="1"/>
        <s v="AMG &amp; Associates" u="1"/>
        <s v="Intivix" u="1"/>
        <s v="SDB Steel &amp; Pipe" u="1"/>
        <s v="Pedego Electric Bikes" u="1"/>
        <s v="Infiniti HR" u="1"/>
        <s v="Fora Financial" u="1"/>
        <s v="Swift HR Solutions" u="1"/>
        <s v="Tenaglia &amp; Hunt" u="1"/>
        <s v="MBW Enterprises" u="1"/>
        <s v="Mosaic Consulting Group" u="1"/>
        <s v="Young Automotive Group" u="1"/>
        <s v="SimIS" u="1"/>
        <s v="iTexico" u="1"/>
        <s v="Hernon Manufacturing" u="1"/>
        <s v="Valiant Solutions" u="1"/>
        <s v="Jamaica Cottage Shop" u="1"/>
        <s v="Univista Insurance" u="1"/>
        <s v="Oxford Builders" u="1"/>
        <s v="Dry Pro Foundation and Crawlspace Specialists" u="1"/>
        <s v="CNF Technologies Corporation" u="1"/>
        <s v="Logenix International" u="1"/>
        <s v="AmeriChem Systems" u="1"/>
        <s v="Aesthetic Products" u="1"/>
        <s v="Longford &amp; Company" u="1"/>
        <s v="Impact Networking" u="1"/>
        <s v="Design Management Group" u="1"/>
        <s v="DreamGear" u="1"/>
        <s v="Branded Entertainment Network" u="1"/>
        <s v="SoftNice" u="1"/>
        <s v="Netwrix" u="1"/>
        <s v="Comfort Now" u="1"/>
        <s v="NetSearch Digital Marketing" u="1"/>
        <s v="ClinLab Staffing" u="1"/>
        <s v="Information Technology Professionals" u="1"/>
        <s v="Twisted X" u="1"/>
        <s v="Southeastern Equipment &amp; Supply" u="1"/>
        <s v="ISG" u="1"/>
        <s v="Neighborly" u="1"/>
        <s v="ANOVA Marine Insurance" u="1"/>
        <s v="Engineered Solutions of GA" u="1"/>
        <s v="Exscape Designs" u="1"/>
        <s v="Growth Academy" u="1"/>
        <s v="That Agency" u="1"/>
        <s v="HomeSmart International" u="1"/>
        <s v="Digital Edge" u="1"/>
        <s v="Hunter Business Law" u="1"/>
        <s v="Mosquito Squad" u="1"/>
        <s v="BizIQ" u="1"/>
        <s v="Environmental Heating and Air Solutions" u="1"/>
        <s v="Mobile Solutions" u="1"/>
        <s v="Alo House Recovery Centers" u="1"/>
        <s v="CadmiumCD" u="1"/>
        <s v="DataShield" u="1"/>
        <s v="Elite Biomedical Solutions" u="1"/>
        <s v="Weifield Group Contracting" u="1"/>
        <s v="Route Transportation &amp; Logistics" u="1"/>
        <s v="RedCloud Consulting" u="1"/>
        <s v="FieldEdge" u="1"/>
        <s v="Spark Orthodontics" u="1"/>
        <s v="Five Lakes Coffee" u="1"/>
        <s v="Carson Group" u="1"/>
        <s v="Millennium (Lake Geneva, WI)" u="1"/>
        <s v="Zambezi" u="1"/>
        <s v="innoVia Events" u="1"/>
        <s v="Ellevate Network" u="1"/>
        <s v="RapidVisa" u="1"/>
        <s v="Bilt Rite Scaffold" u="1"/>
        <s v="iluma Agency" u="1"/>
        <s v="Hungerford Technologies" u="1"/>
        <s v="BigTime Software" u="1"/>
        <s v="Home Health Solutions" u="1"/>
        <s v="Threadbird" u="1"/>
        <s v="Transparent BPO" u="1"/>
        <s v="ONeils" u="1"/>
        <s v="Nationwide Real Estate Executives" u="1"/>
        <s v="Goken America" u="1"/>
        <s v="LBA Ware" u="1"/>
        <s v="Lifestyle Publications" u="1"/>
        <s v="Early Growth Financial Services" u="1"/>
        <s v="R Panitch Enterprises" u="1"/>
        <s v="Three Day Rule" u="1"/>
        <s v="SureCall" u="1"/>
        <s v="Workhorse Marketing" u="1"/>
        <s v="Rev.io" u="1"/>
        <s v="Profit Advisory Group" u="1"/>
        <s v="Viva Railings" u="1"/>
        <s v="Vision33" u="1"/>
        <s v="Hargrove Engineers + Constructors" u="1"/>
        <s v="Very" u="1"/>
        <s v="Kevin.Murphy" u="1"/>
        <s v="WebMechanix" u="1"/>
        <s v="Risk International Services" u="1"/>
        <s v="ThinkShout" u="1"/>
        <s v="AArete" u="1"/>
        <s v="Aeroflow Healthcare" u="1"/>
        <s v="Softdocs" u="1"/>
        <s v="Liberty POST" u="1"/>
        <s v="ULTIMOVALUE.COM" u="1"/>
        <s v="Foundant Technologies" u="1"/>
        <s v="NorCal Ambulance" u="1"/>
        <s v="1Point21 Interactive" u="1"/>
        <s v="Sportique" u="1"/>
        <s v="Winslow Technology Group" u="1"/>
        <s v="Persons Services Corp" u="1"/>
        <s v="DB Services" u="1"/>
        <s v="Wonita International" u="1"/>
        <s v="PURE Group of Insurance Companies" u="1"/>
        <s v="Jakt" u="1"/>
        <s v="Relationship One" u="1"/>
        <s v="Plasticard Locktech International" u="1"/>
        <s v="Koch" u="1"/>
        <s v="LoadDelivered" u="1"/>
        <s v="PrepNow" u="1"/>
        <s v="Orange Aluminum" u="1"/>
        <s v="919 Marketing" u="1"/>
        <s v="Clean Fuels National" u="1"/>
        <s v="Supply Solutions" u="1"/>
        <s v="3Sixty Integrated" u="1"/>
        <s v="Moda Light" u="1"/>
        <s v="WheelsOnsite USA" u="1"/>
        <s v="G&amp;N Insurance" u="1"/>
        <s v="Walton Contractors" u="1"/>
        <s v="Sellmark" u="1"/>
        <s v="Fulcrum Digital" u="1"/>
        <s v="Eagle Business Credit" u="1"/>
        <s v="FirstLight HomeCare Franchising" u="1"/>
        <s v="Stryker Construction" u="1"/>
        <s v="The Quintin Group @ Keller Williams" u="1"/>
        <s v="Zensa" u="1"/>
        <s v="Contract Exteriors" u="1"/>
        <s v="Hayden Outdoors" u="1"/>
        <s v="Reliable Staffing Services" u="1"/>
        <s v="Elite Auctions" u="1"/>
        <s v="Rugo Machine Shop Services" u="1"/>
        <s v="Metronome" u="1"/>
        <s v="YapStone" u="1"/>
        <s v="Swampfox Technologies" u="1"/>
        <s v="Fire Equipment" u="1"/>
        <s v="Blink UX" u="1"/>
        <s v="CTC Events and Productions" u="1"/>
        <s v="Ice Now" u="1"/>
        <s v="New Law Business Model" u="1"/>
        <s v="49er Communications" u="1"/>
        <s v="Cache Private Capital" u="1"/>
        <s v="ODW Logistics &amp; Transportation Services" u="1"/>
        <s v="Web River Group" u="1"/>
        <s v="Steele &amp; Freeman Construction Managers" u="1"/>
        <s v="Momentum Factor" u="1"/>
        <s v="Hoyos Consulting" u="1"/>
        <s v="Charles IT" u="1"/>
        <s v="Start to End Networks" u="1"/>
        <s v="Health &amp; Rehab Solutions" u="1"/>
        <s v="The BOSS - The Builders Outlet Super Store" u="1"/>
        <s v="Camp Run-a-Mutt" u="1"/>
        <s v="Sequoia Financial Group" u="1"/>
        <s v="Boss Logistics" u="1"/>
        <s v="Karins and Associates" u="1"/>
        <s v="Nonprofit HR Solutions" u="1"/>
        <s v="Triple Crown Construction" u="1"/>
        <s v="Sea Bags" u="1"/>
        <s v="JCAL Holdings" u="1"/>
        <s v="We Insure" u="1"/>
        <s v="EcoMark Solar" u="1"/>
        <s v="Tellerex" u="1"/>
        <s v="Greenwich Medical Spa" u="1"/>
        <s v="Walsingham Group" u="1"/>
        <s v="Solution Source" u="1"/>
        <s v="FirstMile" u="1"/>
        <s v="Crescent Homes" u="1"/>
        <s v="The Branding Agency Powered by Proforma" u="1"/>
        <s v="Insight2Profit" u="1"/>
        <s v="Kyber Security" u="1"/>
        <s v="Bases Loaded" u="1"/>
        <s v="Occu-Tec" u="1"/>
        <s v="Enhanced Veterans Solutions" u="1"/>
        <s v="CheckAlt" u="1"/>
        <s v="Entara" u="1"/>
        <s v="Hernandez Construction" u="1"/>
        <s v="Optima Tax Relief" u="1"/>
        <s v="Allworld Project Management" u="1"/>
        <s v="Coranet" u="1"/>
        <s v="J.S. Goray" u="1"/>
        <s v="Axis Global Enterprises" u="1"/>
        <s v="Louisville Geek" u="1"/>
        <s v="Merrimak Capital Company" u="1"/>
        <s v="Occams Advisory" u="1"/>
        <s v="Dynamic Solutions Worldwide" u="1"/>
        <s v="Swag Promo" u="1"/>
        <s v="Ubiquity Global Services" u="1"/>
        <s v="Launch Leads" u="1"/>
        <s v="Skysis" u="1"/>
        <s v="Polymer Solutions International" u="1"/>
        <s v="Talroo" u="1"/>
        <s v="Homestar Financial" u="1"/>
        <s v="Fuel Medical Group" u="1"/>
        <s v="McKee Homes" u="1"/>
        <s v="Tamarack Consulting" u="1"/>
        <s v="ProcureAbility" u="1"/>
        <s v="Exegistics" u="1"/>
        <s v="Trabus Technologies" u="1"/>
        <s v="Thorburn Associates" u="1"/>
        <s v="503 Motoring" u="1"/>
        <s v="AMR Care Group" u="1"/>
        <s v="TopRight" u="1"/>
        <s v="CART MART" u="1"/>
        <s v="TekStream Solutions" u="1"/>
        <s v="GRAYBOX" u="1"/>
        <s v="Vector Media Group" u="1"/>
        <s v="Applied Design" u="1"/>
        <s v="Edge Financial" u="1"/>
        <s v="ABIP CPAs" u="1"/>
        <s v="5" u="1"/>
        <s v="Sweb Development" u="1"/>
        <s v="Fidelity PartnersMedical Staffing" u="1"/>
        <s v="Superior Logistics Solutions" u="1"/>
        <s v="Pacific Companies" u="1"/>
        <s v="Archimedia Solutions Group" u="1"/>
        <s v="CarData" u="1"/>
        <s v="Indagare Travel" u="1"/>
        <s v="Group Benefit Services" u="1"/>
        <s v="Ishir" u="1"/>
        <s v="Guardian Services" u="1"/>
        <s v="FNB Merchants" u="1"/>
        <s v="Amber Green" u="1"/>
        <s v="Worksighted" u="1"/>
        <s v="Jake's Heating and Air Conditioning" u="1"/>
        <s v="Expansion Capital Group" u="1"/>
        <s v="Zefr" u="1"/>
        <s v="United Fray" u="1"/>
        <s v="DeVine Consulting" u="1"/>
        <s v="Concierge Auctions" u="1"/>
        <s v="Operative IQ / EMS Technology Solutions" u="1"/>
        <s v="PT Solutions Physical Therapy" u="1"/>
        <s v="Town Square Mortgage" u="1"/>
        <s v="KwikBoost" u="1"/>
        <s v="Orion Entrance Control" u="1"/>
        <s v="A &amp; A Plumbing" u="1"/>
        <s v="Gorilla Logic" u="1"/>
        <s v="ARIIX" u="1"/>
        <s v="RevenueWell" u="1"/>
        <s v="AgileEngine" u="1"/>
        <s v="MedicOne Medical Response" u="1"/>
        <s v="CGS Business Solutions" u="1"/>
        <s v="FederalConference.com" u="1"/>
        <s v="Portables" u="1"/>
        <s v="Lady M Confections Co." u="1"/>
        <s v="Avionte" u="1"/>
        <s v="MachineLogic" u="1"/>
        <s v="Tropical Smoothie Cafe" u="1"/>
        <s v="Iuvo Technologies" u="1"/>
        <s v="Southwest Industrial Electric" u="1"/>
        <s v="Saxbys" u="1"/>
        <s v="FireSprint" u="1"/>
        <s v="OSM Worldwide" u="1"/>
        <s v="Trusted Nurse Staffing" u="1"/>
        <s v="Paragon Architecture" u="1"/>
        <s v="PMsquare" u="1"/>
        <s v="ARC Contracting" u="1"/>
        <s v="Client Savvy" u="1"/>
        <s v="Environmental Works" u="1"/>
        <s v="1 Source Business Solutions" u="1"/>
        <s v="Certent" u="1"/>
        <s v="Movoto" u="1"/>
        <s v="New Tech Solutions" u="1"/>
        <s v="Netgate" u="1"/>
        <s v="CMBA Architects" u="1"/>
        <s v="TSI" u="1"/>
        <s v="Apex Flooring" u="1"/>
        <s v="HR Collaborative" u="1"/>
        <s v="Advanced Business Solutions" u="1"/>
        <s v="TACG" u="1"/>
        <s v="General Materials" u="1"/>
        <s v="Kingsgate Logistics" u="1"/>
        <s v="Mosaic451" u="1"/>
        <s v="Procare Ambulance of Maryland" u="1"/>
        <s v="Vision Wireless" u="1"/>
        <s v="Side By Side Stuff" u="1"/>
        <s v="GDS Link" u="1"/>
        <s v="Alta Vista Technology" u="1"/>
        <s v="Coretelligent" u="1"/>
        <s v="Peepers by PeeperSpecs" u="1"/>
        <s v="Tempaper" u="1"/>
        <s v="EP Wealth Advisors" u="1"/>
        <s v="Corner Alliance" u="1"/>
        <s v="Coolhaus Ice Cream" u="1"/>
        <s v="Qnary" u="1"/>
        <s v="Divisions Maintenance Group" u="1"/>
        <s v="YouDecide" u="1"/>
        <s v="Utopian Luxury Vacation Homes" u="1"/>
        <s v="Mainstream Electric, Heating, Cooling &amp; Plumbing" u="1"/>
        <s v="Effective Spend" u="1"/>
        <s v="Shepherd Insurance" u="1"/>
        <s v="&quot;I and Love and You&quot;" u="1"/>
        <s v="FastSpring" u="1"/>
        <s v="Clearinghouse Community Development Financial Institution" u="1"/>
        <s v="Sherlock Services" u="1"/>
        <s v="BCDVideo" u="1"/>
        <s v="Atria Consulting" u="1"/>
        <s v="OPTiMO Information Technology" u="1"/>
        <s v="Trademark Hardware" u="1"/>
        <s v="Confirmation.com" u="1"/>
        <s v="Kavayah Solutions" u="1"/>
        <s v="Group Management Services" u="1"/>
        <s v="Chef's Depot" u="1"/>
        <s v="TaiLopez.com" u="1"/>
        <s v="90octane" u="1"/>
        <s v="Krilogy" u="1"/>
        <s v="4Ever Young Anti Aging Solutions" u="1"/>
        <s v="Precise Systems" u="1"/>
        <s v="Gear" u="1"/>
        <s v="The DeWinter Group" u="1"/>
        <s v="Coast to Coast Pools" u="1"/>
        <s v="Capture Higher Ed" u="1"/>
        <s v="Blue Coast Savings Consultants" u="1"/>
        <s v="Stratix Systems" u="1"/>
        <s v="37th Parallel Properties" u="1"/>
        <s v="Enterprise Solutions" u="1"/>
        <s v="Fortress Building Products" u="1"/>
        <s v="Pivot International" u="1"/>
        <s v="Bhgre Homecity" u="1"/>
        <s v="Wodify Technologies" u="1"/>
        <s v="Supply Chain Wizard" u="1"/>
        <s v="W2O Group" u="1"/>
        <s v="Logic20/20" u="1"/>
        <s v="Tachyon Technologies" u="1"/>
        <s v="ITS" u="1"/>
        <s v="Serve First Solutions" u="1"/>
        <s v="Teguar Corporation" u="1"/>
        <s v="Progressive Dental" u="1"/>
        <s v="Resicon" u="1"/>
        <s v="EO Products" u="1"/>
        <s v="Vyne" u="1"/>
        <s v="Northwest Green Solutions" u="1"/>
        <s v="Greenville Avenue Pizza Company" u="1"/>
        <s v="AccuSource" u="1"/>
        <s v="Equian" u="1"/>
        <s v="Beyond20" u="1"/>
        <s v="Rhythmic Technologies" u="1"/>
        <s v="SEQUOIA HOLDINGS" u="1"/>
        <s v="Sendero" u="1"/>
        <s v="Mobomo" u="1"/>
        <s v="EveryAction" u="1"/>
        <s v="Vergent LMS" u="1"/>
        <s v="Service Express" u="1"/>
        <s v="Cerebra Consulting" u="1"/>
        <s v="Fathom 4" u="1"/>
        <s v="97th Floor" u="1"/>
        <s v="Tranquility Dental Wellness Center" u="1"/>
        <s v="Mullin" u="1"/>
        <s v="Solodev" u="1"/>
        <s v="Cooper's Hawk Winery &amp; Restaurants" u="1"/>
        <s v="Alorica" u="1"/>
        <s v="Chandra Technologies" u="1"/>
        <s v="Thrive Consulting" u="1"/>
        <s v="Mansari" u="1"/>
        <s v="Novus Architects" u="1"/>
        <s v="Seer Interactive" u="1"/>
        <s v="360 Payments" u="1"/>
        <s v="Inspira Marketing" u="1"/>
        <s v="The Braun Agency" u="1"/>
        <s v="The Siegfried Group" u="1"/>
        <s v="Opus Interactive" u="1"/>
        <s v="Primary Wave Media" u="1"/>
        <s v="Exbabylon IT Solutions" u="1"/>
        <s v="TGG Accounting" u="1"/>
        <s v="AltexSoft" u="1"/>
        <s v="Lincoln Security Services" u="1"/>
        <s v="Zogics" u="1"/>
        <s v="Logical Media Group" u="1"/>
        <s v="Tjfact" u="1"/>
        <s v="Netreo" u="1"/>
        <s v="Worcester Companies" u="1"/>
        <s v="Trowbridge &amp; Trowbridge" u="1"/>
        <s v="iPower Technologies" u="1"/>
        <s v="Atlas Insurance Brokers" u="1"/>
        <s v="Truland Homes" u="1"/>
        <s v="Municibid" u="1"/>
        <s v="Clear Resolution" u="1"/>
        <s v="Evoke Brand Strategies" u="1"/>
        <s v="Sun Solar" u="1"/>
        <s v="Monitors.com" u="1"/>
        <s v="SMS Lodging" u="1"/>
        <s v="Selling Simplified" u="1"/>
        <s v="Enlinx" u="1"/>
        <s v="Bigcommerce" u="1"/>
        <s v="Digital Boardwalk" u="1"/>
        <s v="Innovative Business Solutions" u="1"/>
        <s v="Banyan Technology" u="1"/>
        <s v="Lizzy Lift" u="1"/>
        <s v="Vital Edge Solutions" u="1"/>
        <s v="Tribal Tech" u="1"/>
        <s v="D'Aprile Properties" u="1"/>
        <s v="Infomatics" u="1"/>
        <s v="InfoReady" u="1"/>
        <s v="General Informatics" u="1"/>
        <s v="True Builders" u="1"/>
        <s v="Natran" u="1"/>
        <s v="Cuddle Clones" u="1"/>
        <s v="ON Partners" u="1"/>
        <s v="Roundstone" u="1"/>
        <s v="First Centennial Mortgage" u="1"/>
        <s v="Sunset Transportation" u="1"/>
        <s v="TrafficSafetyStore.com" u="1"/>
        <s v="P.J. Wallbank Springs" u="1"/>
        <s v="Inteletech Global" u="1"/>
        <s v="Synergy Comp Insurance Company" u="1"/>
        <s v="Proactive Technologies" u="1"/>
        <s v="CompuTech City" u="1"/>
        <s v="Proforma GPS Global Promotional Sourcing" u="1"/>
        <s v="Pediatric Home Healthcare" u="1"/>
        <s v="Rapid Web Services" u="1"/>
        <s v="Goodzer" u="1"/>
        <s v="Automated Systems Design" u="1"/>
        <s v="Spectrio" u="1"/>
        <s v="Buildingstars of Charlotte" u="1"/>
        <s v="OnQ Solutions" u="1"/>
        <s v="ReSource Pro" u="1"/>
        <s v="Ques Industries" u="1"/>
        <s v="Titan Growth" u="1"/>
        <s v="In Time Tec" u="1"/>
        <s v="Cast Aluminum Solutions" u="1"/>
        <s v="GadellNet Technology Solutions" u="1"/>
        <s v="iVenture Solutions" u="1"/>
        <s v="Russell Cellular" u="1"/>
        <s v="DP Electric" u="1"/>
        <s v="strategic HR" u="1"/>
        <s v="Coherent Solutions" u="1"/>
        <s v="Hightowers Petroleum Company" u="1"/>
        <s v="Percepture" u="1"/>
        <s v="AccelHRate" u="1"/>
        <s v="Dutch Country Living" u="1"/>
        <s v="Hanapin Marketing" u="1"/>
        <s v="Abadie-Williams" u="1"/>
        <s v="RealJoy Vacations" u="1"/>
        <s v="KW Property Management &amp; Consulting" u="1"/>
        <s v="UpClear" u="1"/>
        <s v="Patrick Accounting and Tax Services" u="1"/>
        <s v="AltaVista Strategic Partners" u="1"/>
        <s v="Ryan Gootee General Contractors" u="1"/>
        <s v="Schaumburg Specialties" u="1"/>
        <s v="Cross Country Home Services" u="1"/>
        <s v="Taoti Creative" u="1"/>
        <s v="Tenon Tours" u="1"/>
        <s v="Peoples Company" u="1"/>
        <s v="Point of Rental Software" u="1"/>
        <s v="Reliant Funding" u="1"/>
        <s v="Kung Fu Tea" u="1"/>
        <s v="OnSite Fleet" u="1"/>
        <s v="Schox Patent Group" u="1"/>
        <s v="Trapp Technology" u="1"/>
        <s v="inSeption Group" u="1"/>
        <s v="Firehook" u="1"/>
        <s v="Flywheel Brands" u="1"/>
        <s v="Badass Brand" u="1"/>
        <s v="Aurora Imaging Company" u="1"/>
        <s v="Gilmore Solutions" u="1"/>
        <s v="Capital Edge Consulting" u="1"/>
        <s v="Roadway Moving Company" u="1"/>
        <s v="Synchrogistics" u="1"/>
        <s v="TalTeam" u="1"/>
        <s v="memoryBlue" u="1"/>
        <s v="TiER1" u="1"/>
        <s v="vCORE Technology Partners" u="1"/>
        <s v="Lithko Contracting" u="1"/>
        <s v="CapTech Ventures" u="1"/>
        <s v="Best Practice Energy" u="1"/>
        <s v="Managed Care Advisors" u="1"/>
        <s v="Donaldson Plastic Surgery" u="1"/>
        <s v="Yepremyan Law Firm" u="1"/>
        <s v="MESH(r)" u="1"/>
        <s v="Pedigree Technologies" u="1"/>
        <s v="Aligned Technology Solutions" u="1"/>
        <s v="AOA" u="1"/>
        <s v="Enstoa" u="1"/>
        <s v="Aduro" u="1"/>
        <s v="Profuse Solutions" u="1"/>
        <s v="CWDL CPAs" u="1"/>
        <s v="Restoration Cleaners" u="1"/>
        <s v="MRG Construction Management" u="1"/>
        <s v="Zters" u="1"/>
        <s v="IdeaTek Telcom" u="1"/>
        <s v="DaySmart Software" u="1"/>
        <s v="Global Tee" u="1"/>
        <s v="Canal Capital Management" u="1"/>
        <s v="TalentLaunch" u="1"/>
        <s v="TechStar Group" u="1"/>
        <s v="Al's Complete Lawn Care" u="1"/>
        <s v="DeAngelis Diamond" u="1"/>
        <s v="g2 Revolution" u="1"/>
        <s v="CMMS Data Group" u="1"/>
        <s v="Soccer Shots Franchising" u="1"/>
        <s v="Multifamily Utility Company" u="1"/>
        <s v="VirTex Enterprises" u="1"/>
        <s v="RentWerx Property Management" u="1"/>
        <s v="360 Blue" u="1"/>
        <s v="inWhatLanguage" u="1"/>
        <s v="GrowthForce" u="1"/>
        <s v="Optizmo Technologies" u="1"/>
        <s v="LegalEASE" u="1"/>
        <s v="Beck Partners" u="1"/>
        <s v="McAllen Valley Roofing" u="1"/>
        <s v="Corp2000" u="1"/>
        <s v="APEX Recovery" u="1"/>
        <s v="SEJ Services" u="1"/>
        <s v="Unanet" u="1"/>
        <s v="Cheba Hut Toasted Subs" u="1"/>
        <s v="Fireking Baking Company" u="1"/>
        <s v="WatchGuard Video" u="1"/>
        <s v="Land design studio" u="1"/>
        <s v="TribalVision" u="1"/>
        <s v="Mammoth" u="1"/>
        <s v="Jade Global" u="1"/>
        <s v="Synergen Health" u="1"/>
        <s v="Black-Haak Heating" u="1"/>
        <s v="Code42" u="1"/>
        <s v="KCL Engineering" u="1"/>
        <s v="Amtel" u="1"/>
        <s v="Koncept Events" u="1"/>
        <s v="TechOp Solutions International" u="1"/>
        <s v="Infinite Resource Solutions" u="1"/>
        <s v="Tusk Enterprises" u="1"/>
        <s v="Strong Smiles Dental Care" u="1"/>
        <s v="M&amp;M Productions USA" u="1"/>
        <s v="Safe Hiring Solutions" u="1"/>
        <s v="KMS Technology" u="1"/>
        <s v="Worldwide Insurance Network" u="1"/>
        <s v="Oakworth Capital Bank" u="1"/>
        <s v="Gilleard Dental Marketing" u="1"/>
        <s v="Outer Banks Blue" u="1"/>
        <s v="Edward Marc Brands" u="1"/>
        <s v="Contract Solutions" u="1"/>
        <s v="Automotive Internet Media" u="1"/>
        <s v="Leading EDJE" u="1"/>
        <s v="Intact Technology" u="1"/>
        <s v="Vanguard Claims Administration" u="1"/>
        <s v="Nomadness" u="1"/>
        <s v="SmarterChaos.com" u="1"/>
        <s v="Converze Media Group" u="1"/>
        <s v="Submittable" u="1"/>
        <s v="Peck Brothers Roofing" u="1"/>
        <s v="Whim Hospitality" u="1"/>
        <s v="The Clearing" u="1"/>
        <s v="Lightbridge Academy" u="1"/>
        <s v="L37 Creative" u="1"/>
        <s v="Seaway Printing Company" u="1"/>
        <s v="1st Class Real Estate" u="1"/>
        <s v="IMS Technology Services" u="1"/>
        <s v="Envision" u="1"/>
        <s v="BuyBackWorld" u="1"/>
        <s v="C&amp;R" u="1"/>
        <s v="Modo Modo Agency" u="1"/>
        <s v="2020 Teknology" u="1"/>
        <s v="CQ fluency" u="1"/>
        <s v="International Voyager" u="1"/>
        <s v="Killer Visual Strategies" u="1"/>
        <s v="Burgos Group" u="1"/>
        <s v="Conservice" u="1"/>
        <s v="Think Company" u="1"/>
        <s v="Air Solutions &amp; Balancing" u="1"/>
        <s v="Sterling Staffing Solutions" u="1"/>
        <s v="ClinicalMind" u="1"/>
        <s v="Hollister Construction Services" u="1"/>
        <s v="Acacia" u="1"/>
        <s v="RTG Medical" u="1"/>
        <s v="True Hire" u="1"/>
        <s v="The Purple Guys" u="1"/>
        <s v="PowerDMS" u="1"/>
        <s v="ImageWorks" u="1"/>
        <s v="Blast Analytics &amp; Marketing" u="1"/>
        <s v="EMEX" u="1"/>
        <s v="Optimal Design" u="1"/>
        <s v="The Stem" u="1"/>
        <s v="Inova Payroll" u="1"/>
        <s v="Universal Painting Corporation" u="1"/>
        <s v="Congruity HR" u="1"/>
        <s v="Archer" u="1"/>
        <s v="Jacobson Strategic Communications" u="1"/>
        <s v="Thomsen Homes" u="1"/>
        <s v="Rectangle Health" u="1"/>
        <s v="Zelis Healthcare" u="1"/>
        <s v="Pax Financial Group" u="1"/>
        <s v="Culmen International" u="1"/>
        <s v="SA Photonics" u="1"/>
        <s v="Saxon Global" u="1"/>
        <s v="Amuza" u="1"/>
        <s v="City Winery" u="1"/>
        <s v="Twelve Points Wealth Management" u="1"/>
        <s v="Environmental Pest Management" u="1"/>
        <s v="Adapture" u="1"/>
        <s v="Credible Behavioral Health" u="1"/>
        <s v="Connecticut Sealcoating" u="1"/>
        <s v="US Freight" u="1"/>
        <s v="GSI Health" u="1"/>
        <s v="Jones Sign Company" u="1"/>
        <s v="North Terrace Property Management" u="1"/>
        <s v="Thorn Pest Solutions" u="1"/>
        <s v="Land Info Worldwide Mapping" u="1"/>
        <s v="Triage Medical Staffing" u="1"/>
        <s v="Global Data Vault" u="1"/>
        <s v="Boost Payment Solutions" u="1"/>
        <s v="Smart Chemical Services" u="1"/>
        <s v="Kanda Software" u="1"/>
        <s v="Tender Belly" u="1"/>
        <s v="RED Group" u="1"/>
        <s v="SyncShow" u="1"/>
        <s v="Access Information Management" u="1"/>
        <s v="ReferralExchange" u="1"/>
        <s v="Mindgrub Technologies" u="1"/>
        <s v="NTE Energy" u="1"/>
        <s v="Starnes Media" u="1"/>
        <s v="Impekable" u="1"/>
        <s v="CCS Technology Group" u="1"/>
        <s v="Trillion Technology Solutions" u="1"/>
        <s v="Mark-it Express" u="1"/>
        <s v="GetWireless" u="1"/>
        <s v="Rentex Audio Visual &amp; Computer Rentals" u="1"/>
        <s v="Infogressive" u="1"/>
        <s v="Swanktek" u="1"/>
        <s v="Annkissam" u="1"/>
        <s v="Kaufman Development" u="1"/>
        <s v="Tempco Glass Fabrication" u="1"/>
        <s v="MedSpeed" u="1"/>
        <s v="Evolve IP" u="1"/>
        <s v="Davenport Theatrical Enterprises" u="1"/>
        <s v="Fractl" u="1"/>
        <s v="Simeio Solutions" u="1"/>
        <s v="HomeSpec BasementFix" u="1"/>
        <s v="Brilliant Ink" u="1"/>
        <s v="SMG" u="1"/>
        <s v="Clarity Partners" u="1"/>
        <s v="Lewis-Price &amp; Associates" u="1"/>
        <s v="Sceptre Hospitality Resources (SHR)" u="1"/>
        <s v="IntelliWare" u="1"/>
        <s v="Express Logistics" u="1"/>
        <s v="Hostek.com" u="1"/>
        <s v="ExIT Technologies" u="1"/>
        <s v="Jarrett Logistics Systems" u="1"/>
        <s v="Cadenza Innovation" u="1"/>
        <s v="Acuity Systems" u="1"/>
        <s v="Brothers International Desserts" u="1"/>
        <s v="Vitality Medical" u="1"/>
        <s v="LegitScript" u="1"/>
        <s v="Flores Financial Services" u="1"/>
        <s v="The Heyl Group at Keller Williams" u="1"/>
        <s v="ATIS Elevator Inspections" u="1"/>
        <s v="Innovative Commercial Environments" u="1"/>
        <s v="Sonwil Distribution and Logistics" u="1"/>
        <s v="Dots" u="1"/>
        <s v="Barrett Distribution Centers" u="1"/>
        <s v="Verity Commercial" u="1"/>
        <s v="Bevilacqua Research" u="1"/>
        <s v="Timo's Air Conditioning &amp; Heating" u="1"/>
        <s v="Symmetrix Solutions" u="1"/>
        <s v="WizeHive" u="1"/>
        <s v="AEC Group" u="1"/>
        <s v="Learn on Demand Systems" u="1"/>
        <s v="Cenero" u="1"/>
        <s v="Proven IT" u="1"/>
        <s v="Advanced RPO" u="1"/>
        <s v="eGuard Technology Services" u="1"/>
        <s v="Poo~Pourri" u="1"/>
        <s v="MindTouch" u="1"/>
        <s v="All About Events - Jacksonville" u="1"/>
        <s v="Makers Nutrition" u="1"/>
        <s v="Xtivia" u="1"/>
        <s v="Xtreme Xperience" u="1"/>
        <s v="Stream Companies" u="1"/>
        <s v="Kendall Capital Management" u="1"/>
        <s v="Cornerstone Wealth Management" u="1"/>
        <s v="Candid Partners" u="1"/>
        <s v="Maximum One Realty" u="1"/>
        <s v="Stainless Steel products" u="1"/>
        <s v="Triple J Armory" u="1"/>
        <s v="Clerestory Consulting" u="1"/>
        <s v="Cumberland Consulting Group" u="1"/>
        <s v="Servsys" u="1"/>
        <s v="PPT Consulting" u="1"/>
        <s v="Allied Instructional Services" u="1"/>
        <s v="Procida Construction" u="1"/>
        <s v="Manufacturers Distributor" u="1"/>
        <s v="Continental Mapping Consultants" u="1"/>
        <s v="CoNexus CPA Group" u="1"/>
        <s v="Isos Technology" u="1"/>
        <s v="MFS Supply" u="1"/>
        <s v="Elite Innovative Solutions" u="1"/>
        <s v="Compressor World" u="1"/>
        <s v="ION Solar" u="1"/>
        <s v="Industrial Motor Power Coporation" u="1"/>
        <s v="Sunshine Plumbing Heating Air" u="1"/>
        <s v="Sanity Solutions" u="1"/>
        <s v="Pipeline Equipment" u="1"/>
        <s v="IcePortal" u="1"/>
        <s v="Lifescape Colorado" u="1"/>
        <s v="Acertara Acoustic Laboratories" u="1"/>
        <s v="Graphics and More" u="1"/>
        <s v="City Wide Franchise Company" u="1"/>
        <s v="Dental Care New Jersey" u="1"/>
        <s v="Tom Drexler Plumbing Air" u="1"/>
        <s v="Pharmaceutical Strategies Group" u="1"/>
        <s v="Des Moines Truck Brokers" u="1"/>
        <s v="Component Surfaces" u="1"/>
        <s v="Cloud for Good" u="1"/>
        <s v="Corvette Mods" u="1"/>
        <s v="ThreeBridge Solutions" u="1"/>
        <s v="Insight Resource Group" u="1"/>
        <s v="Freddy's Frozen Custard" u="1"/>
        <s v="CHHJ Franchising" u="1"/>
        <s v="Endsight" u="1"/>
        <s v="Applied Educational Systems" u="1"/>
        <s v="New Vision Properties" u="1"/>
        <s v="Call Management Resources" u="1"/>
        <s v="Matthew A. Dickason" u="1"/>
        <s v="Tyler Petroleum" u="1"/>
        <s v="Expert Computer Solutions" u="1"/>
        <s v="Venn Strategies" u="1"/>
        <s v="Blue Corona" u="1"/>
        <s v="TerraCycle" u="1"/>
        <s v="HAP Investments" u="1"/>
        <s v="Big Outdoor" u="1"/>
        <s v="CHHJ North Jersey" u="1"/>
        <s v="North American Coating Laboratories" u="1"/>
        <s v="Lead id" u="1"/>
        <s v="InterDev" u="1"/>
        <s v="Architectural Fabrication" u="1"/>
        <s v="BrandYourself.com" u="1"/>
        <s v="Vaco" u="1"/>
        <s v="Cynet Systems" u="1"/>
        <s v="Inspired eLearning" u="1"/>
        <s v="Beacon Capital Management" u="1"/>
        <s v="Element Three" u="1"/>
        <s v="Malwarebytes" u="1"/>
        <s v="First American Payment Systems" u="1"/>
        <s v="Just Right Products" u="1"/>
        <s v="Tint World" u="1"/>
        <s v="Storage Media Group" u="1"/>
        <s v="Pacific Western Painting" u="1"/>
        <s v="Power Home Remodeling" u="1"/>
        <s v="INTERNATIONAL TEFL ACADEMY" u="1"/>
        <s v="M2 Strategy" u="1"/>
        <s v="Atlanta Communities Real Estate Brokerage" u="1"/>
        <s v="Saturn Tech" u="1"/>
        <s v="Creditsafe USA" u="1"/>
        <s v="Standard Black" u="1"/>
        <s v="TRIOSE" u="1"/>
        <s v="Long Story Short Media" u="1"/>
        <s v="Blueberry Builders" u="1"/>
        <s v="Kent Power" u="1"/>
        <s v="BWS Plumbing, Heating and Air Conditioning" u="1"/>
        <s v="Centrify" u="1"/>
        <s v="Accelerated Claims" u="1"/>
        <s v="MVS" u="1"/>
        <s v="OptConnect" u="1"/>
        <s v="Tarrytech Security" u="1"/>
        <s v="Signature Bank" u="1"/>
        <s v="Entisys360" u="1"/>
        <s v="MedCerts" u="1"/>
        <s v="The Cydio Group" u="1"/>
        <s v="Advanced Project Consulting" u="1"/>
        <s v="Interlink Cloud Advisors" u="1"/>
        <s v="495 Movers" u="1"/>
        <s v="Natalie's Orchid Island Juice Company" u="1"/>
        <s v="MIE Solutions" u="1"/>
        <s v="CommerceIQ" u="1"/>
        <s v="Uptime Legal Systems" u="1"/>
        <s v="Plushnyc Post" u="1"/>
        <s v="Reading Horizons" u="1"/>
        <s v="Inscio" u="1"/>
        <s v="Midwest Restoration" u="1"/>
        <s v="Solar Solution" u="1"/>
        <s v="Vericon Construction Company" u="1"/>
        <s v="United Medco" u="1"/>
        <s v="Forrest Performance Group" u="1"/>
        <s v="Winston's of Northern Virginia" u="1"/>
        <s v="AHS Consulting" u="1"/>
        <s v="Zenmonics" u="1"/>
        <s v="InterWorks" u="1"/>
        <s v="Gemini Tech Services" u="1"/>
        <s v="Evereve" u="1"/>
        <s v="PN Automation" u="1"/>
        <s v="Capstone Information Technologies" u="1"/>
        <s v="Todays Business" u="1"/>
        <s v="Creative Studio Promotions" u="1"/>
        <s v="TapClassifieds Auto" u="1"/>
        <s v="Hiatus Spa Retreat" u="1"/>
        <s v="DRT Transportation" u="1"/>
        <s v="Community Association Management Company" u="1"/>
        <s v="CRM Passport" u="1"/>
        <s v="Silk Worldwide" u="1"/>
        <s v="Balsam Hill" u="1"/>
        <s v="Pin-Point Logistics" u="1"/>
        <s v="Anchor Distributing" u="1"/>
        <s v="MY Shower Door / D3 Glass" u="1"/>
        <s v="Capital Title of Texas" u="1"/>
        <s v="CivicPlus" u="1"/>
        <s v="ROCS Grad Staffing" u="1"/>
        <s v="Nexcom" u="1"/>
        <s v="Saalex Solutions" u="1"/>
        <s v="Apex Energy Solutions" u="1"/>
        <s v="Berkley" u="1"/>
        <s v="Total Care Connections" u="1"/>
        <s v="Emergicon" u="1"/>
        <s v="Landerholm Family Law" u="1"/>
        <s v="Itransition" u="1"/>
        <s v="Black Mountain Systems" u="1"/>
        <s v="B2Gnow" u="1"/>
        <s v="Torch Technologies" u="1"/>
        <s v="HomElectrical" u="1"/>
        <s v="Image Business Interiors" u="1"/>
        <s v="Akuranvyka DBA" u="1"/>
        <s v="Listrak" u="1"/>
        <s v="IT Direct" u="1"/>
        <s v="TK Promotions" u="1"/>
        <s v="US Med-Equip" u="1"/>
        <s v="Atlantic Environmental Solutions" u="1"/>
        <s v="Grasp Technologies" u="1"/>
        <s v="OnceLogix" u="1"/>
        <s v="Star Staffing Alpena" u="1"/>
        <s v="Urban Betty" u="1"/>
        <s v="Boca Beauty Academy" u="1"/>
        <s v="Glen Eagle" u="1"/>
        <s v="2:20 Marketing Group /Xurli" u="1"/>
        <s v="Ob Hospitalist Group" u="1"/>
        <s v="TechCXO" u="1"/>
        <s v="Birds Barbershop" u="1"/>
        <s v="Arke Systems" u="1"/>
        <s v="Stomping Ground Photography" u="1"/>
        <s v="Jackrabbit Technologies" u="1"/>
        <s v="Freight Hub Group" u="1"/>
        <s v="Jonathan's Grille" u="1"/>
        <s v="Jones PR" u="1"/>
        <s v="ApplicantPro" u="1"/>
        <s v="Open Dealer Exchange" u="1"/>
        <s v="Oklahoma Forge" u="1"/>
        <s v="SupplyCore" u="1"/>
        <s v="DRT Strategies" u="1"/>
        <s v="Legend Medical" u="1"/>
        <s v="Altitude Marketing" u="1"/>
        <s v="Golftec" u="1"/>
        <s v="DBSync" u="1"/>
        <s v="MiCamp Solutions" u="1"/>
        <s v="Media Minefield" u="1"/>
        <s v="Homeside Financial" u="1"/>
        <s v="Accord Group" u="1"/>
        <s v="nexVortex" u="1"/>
        <s v="Westminster American Insurance Company" u="1"/>
        <s v="Cable Ties Unlimited" u="1"/>
        <s v="P.Q.D. International" u="1"/>
        <s v="Woolley Robertson Group" u="1"/>
        <s v="Robinson Air" u="1"/>
        <s v="Investigroup Limited Liability Company" u="1"/>
        <s v="Authentic Custom Homes" u="1"/>
        <s v="Saxum" u="1"/>
        <s v="BoardPaq" u="1"/>
        <s v="SBS CyberSecurity" u="1"/>
        <s v="New City Moving" u="1"/>
        <s v="30 Point Strategies" u="1"/>
        <s v="Towner Communications" u="1"/>
        <s v="KRG Technologies" u="1"/>
        <s v="Trademasters Service" u="1"/>
        <s v="The Icebox" u="1"/>
        <s v="GMF Steel Group" u="1"/>
        <s v="First Line Technology" u="1"/>
        <s v="Proforma Add-a-Line" u="1"/>
        <s v="The Complete Child" u="1"/>
        <s v="Web Shop Manager" u="1"/>
        <s v="Integrity Services" u="1"/>
        <s v="Pine Grove Financial Group" u="1"/>
        <s v="Stone Resource Group" u="1"/>
        <s v="Planet DDS" u="1"/>
        <s v="Discovery Health Partners" u="1"/>
        <s v="Resource Communications Group" u="1"/>
        <s v="Window World of Baton Rouge" u="1"/>
        <s v="Freedom Specialty Services" u="1"/>
        <s v="Midwest Prototyping" u="1"/>
        <s v="Devada" u="1"/>
        <s v="Sebpo" u="1"/>
        <s v="Consolidus" u="1"/>
        <s v="CrossCountry Consulting" u="1"/>
        <s v="Executive Speakers Bureau" u="1"/>
        <s v="Charlesgate Realty Group" u="1"/>
        <s v="iMobile" u="1"/>
        <s v="Eclat Health Solutions" u="1"/>
        <s v="The Payroll Company (TPC)" u="1"/>
        <s v="Applied Training Solutions" u="1"/>
        <s v="Brio Benefit Consulting" u="1"/>
        <s v="JazzHR" u="1"/>
        <s v="ReEmployAbility" u="1"/>
        <s v="CoDev" u="1"/>
        <s v="Milo's Tea Company" u="1"/>
        <s v="Cook Security Group" u="1"/>
        <s v="Alliance Resource Group" u="1"/>
        <s v="Beauty Solutions" u="1"/>
        <s v="Mathys+Potestio" u="1"/>
        <s v="The Northbridge Companies" u="1"/>
        <s v="Thriveon" u="1"/>
        <s v="Advanced Strategic Enterprise Concepts 3" u="1"/>
        <s v="1st Choice Roofing Company" u="1"/>
        <s v="LBA Haynes Strand" u="1"/>
        <s v="Ardent Learning" u="1"/>
        <s v="IronEdge Group" u="1"/>
        <s v="Jewel Branding &amp; Licensing" u="1"/>
        <s v="The Advocates" u="1"/>
        <s v="Barra &amp; Associates" u="1"/>
        <s v="InVision Security" u="1"/>
        <s v="FC Construction Services" u="1"/>
        <s v="Orion Technologies" u="1"/>
        <s v="ITility" u="1"/>
        <s v="Health Perspectives Group" u="1"/>
        <s v="The Dirt Connection" u="1"/>
        <s v="Nayamode" u="1"/>
        <s v="Excel Education Systems" u="1"/>
        <s v="Solvaria" u="1"/>
        <s v="Ascii Group" u="1"/>
        <s v="XeteX" u="1"/>
        <s v="Dynamit" u="1"/>
        <s v="Morales Group" u="1"/>
        <s v="Swisstrax Corporation" u="1"/>
        <s v="Econologics Financial Advisors" u="1"/>
        <s v="Monumetric" u="1"/>
        <s v="Mountain Construction and Management Denver Division" u="1"/>
        <s v="ExactCare Pharmacy" u="1"/>
        <s v="Corbett Technology Solutions" u="1"/>
        <s v="Crabtree, Rowe &amp; Berger" u="1"/>
        <s v="Bluetree Network" u="1"/>
        <s v="Powerblanket" u="1"/>
        <s v="The Firm Advisors" u="1"/>
        <s v="V Digital Services" u="1"/>
        <s v="Premier Graphics" u="1"/>
        <s v="Blair Technology Group" u="1"/>
        <s v="Southern RV" u="1"/>
        <s v="Crosslin Technologies" u="1"/>
        <s v="Precision Medical Products" u="1"/>
        <s v="StackCommerce" u="1"/>
        <s v="Oxagile" u="1"/>
        <s v="Etica" u="1"/>
        <s v="MyITpros" u="1"/>
        <s v="Eanes Heating and Air" u="1"/>
        <s v="Access Insurance Underwriter" u="1"/>
        <s v="Clarendon Partners" u="1"/>
        <s v="ProHome Metro DC" u="1"/>
        <s v="VOX Network Solutions" u="1"/>
        <s v="ITEGRIA" u="1"/>
        <s v="Timber Industries" u="1"/>
        <s v="Phipps Reporting" u="1"/>
        <s v="Insurance Services Group of the Southeast" u="1"/>
        <s v="Burnham Benefits Insurance Services" u="1"/>
        <s v="Lighthouse Lab Services" u="1"/>
        <s v="Covenant Eyes" u="1"/>
        <s v="Integrated Payroll Services" u="1"/>
        <s v="Caring Commercial Cleaning" u="1"/>
        <s v="Compunnel Software Group" u="1"/>
        <s v="Capstone Consulting" u="1"/>
        <s v="Litigation Services" u="1"/>
        <s v="United Franchise Group" u="1"/>
        <s v="Everlasting Capital" u="1"/>
        <s v="Stria" u="1"/>
        <s v="Taylor's Natural Green Lawn" u="1"/>
        <s v="The Rainmaker Group" u="1"/>
        <s v="Fidelus Technologies" u="1"/>
        <s v="Right Sized Solutions" u="1"/>
        <s v="N&amp;L Investment Corp" u="1"/>
        <s v="Republic Bank of Chicago" u="1"/>
        <s v="K &amp; P Enterprises" u="1"/>
        <s v="tap|QA" u="1"/>
        <s v="TPI Efficiency" u="1"/>
        <s v="SPOL" u="1"/>
        <s v="VS carriers" u="1"/>
        <s v="Hillmann Consulting" u="1"/>
        <s v="Top Class Actions" u="1"/>
        <s v="Brilliant Infotech" u="1"/>
        <s v="Medication Management Partners" u="1"/>
        <s v="OneSource Virtual" u="1"/>
        <s v="The Wireless Experience" u="1"/>
        <s v="THS Constructors" u="1"/>
        <s v="Milk + Honey" u="1"/>
        <s v="Seattle Coffee Gear" u="1"/>
        <s v="Netrepid" u="1"/>
        <s v="Service Professor" u="1"/>
        <s v="UIS" u="1"/>
        <s v="Edwards Performance Solutions" u="1"/>
        <s v="Maverick Networks" u="1"/>
        <s v="Impiger Technologies" u="1"/>
        <s v="UPS Protection" u="1"/>
        <s v="Immersion Active" u="1"/>
        <s v="PharmaLogics Recruiting" u="1"/>
        <s v="Mortgage Capital Trading" u="1"/>
        <s v="Five Star Connect" u="1"/>
        <s v="Canale Communications" u="1"/>
        <s v="CleanChoice Energy" u="1"/>
        <s v="Innovative Enterprises" u="1"/>
        <s v="GNT Solutions" u="1"/>
        <s v="Professional Capital Services" u="1"/>
        <s v="24Hr HomeCare" u="1"/>
        <s v="NewMark Merrill Companies" u="1"/>
        <s v="Fluid-Aire Dynamics" u="1"/>
        <s v="Faye Business Systems Group" u="1"/>
        <s v="Custom Tree Care" u="1"/>
        <s v="Lumark Technologies" u="1"/>
        <s v="Primal Health" u="1"/>
        <s v="Coast Professional" u="1"/>
        <s v="ReminderMedia" u="1"/>
        <s v="College Hunks Hauling Junk &amp; Moving of Long Island" u="1"/>
        <s v="Akorbi" u="1"/>
        <s v="MotherG" u="1"/>
        <s v="JusbyJulie.com" u="1"/>
        <s v="Blue Microphones" u="1"/>
        <s v="NexDine" u="1"/>
        <s v="Comprehensive Finance" u="1"/>
        <s v="Trideum Corporation" u="1"/>
        <s v="V-Soft Consulting Group" u="1"/>
        <s v="EXB Solutions" u="1"/>
        <s v="ListEngage" u="1"/>
        <s v="MasteryPrep" u="1"/>
        <s v="Forthea Interactive" u="1"/>
        <s v="Morgan Properties" u="1"/>
        <s v="First Flight Solutions" u="1"/>
        <s v="Blend360" u="1"/>
        <s v="Illegal Pete's" u="1"/>
        <s v="Whereoware" u="1"/>
        <s v="Insurance Brokers West" u="1"/>
        <s v="KRD - Kutchins, Robbins &amp; Diamond, Ltd." u="1"/>
        <s v="Influence &amp; Co." u="1"/>
        <s v="Dane Street" u="1"/>
        <s v="Nightlight Pediatric Urgent Care" u="1"/>
        <s v="iVision" u="1"/>
        <s v="Groggy Dog Sportswear &amp; Graphic Design" u="1"/>
        <s v="Momentum Telecom" u="1"/>
        <s v="Parker's" u="1"/>
        <s v="Walker Elliott" u="1"/>
        <s v="InboundProspect" u="1"/>
        <s v="Big Data Supply" u="1"/>
        <s v="Comtec Cloud Management Company" u="1"/>
        <s v="VDart" u="1"/>
        <s v="Hasko Trading" u="1"/>
        <s v="Groover Seminars" u="1"/>
        <s v="Freight Management Team" u="1"/>
        <s v="Trelevate" u="1"/>
        <s v="Interglass Corp" u="1"/>
        <s v="Impact Advisors" u="1"/>
        <s v="TGRP Solutions" u="1"/>
        <s v="Karavan Trailers" u="1"/>
        <s v="Pyramid Dental Integration" u="1"/>
        <s v="Exclusive Concepts" u="1"/>
        <s v="Adler Windows" u="1"/>
        <s v="MyJobHelper.com" u="1"/>
        <s v="Aggressor Adventures" u="1"/>
        <s v="Ware Malcomb" u="1"/>
        <s v="Resonate" u="1"/>
        <s v="Classic Rock Fabrication" u="1"/>
        <s v="WGroup" u="1"/>
        <s v="Gaspar Insurance Services" u="1"/>
        <s v="PJP Marketing" u="1"/>
        <s v="Exact Solar" u="1"/>
        <s v="Revel Interactive" u="1"/>
        <s v="JMJS" u="1"/>
        <s v="Taradel" u="1"/>
        <s v="Zoom Technical Services" u="1"/>
        <s v="POP Yachts" u="1"/>
        <s v="Critical Link" u="1"/>
        <s v="HMS Global Maritime" u="1"/>
        <s v="Stored Technology Solutions" u="1"/>
        <s v="HNH Investment LP" u="1"/>
        <s v="Momentum Consulting" u="1"/>
        <s v="ConnectYourCare" u="1"/>
        <s v="Vault Communications" u="1"/>
        <s v="Maryland and Delaware Group of Long and Foster" u="1"/>
        <s v="MedRisk" u="1"/>
        <s v="Connective Talent" u="1"/>
        <s v="Lumitec Lighting" u="1"/>
        <s v="SyncHR" u="1"/>
        <s v="Intellect Solutions" u="1"/>
        <s v="TENS Rx" u="1"/>
        <s v="Advanced Clinical" u="1"/>
        <s v="Demco Automation" u="1"/>
        <s v="PRA Business Events New Orleans" u="1"/>
        <s v="blueStone Staffing" u="1"/>
        <s v="Juno Search Partners" u="1"/>
        <s v="eHealth Technologies" u="1"/>
        <s v="Illuminate" u="1"/>
        <s v="Bottlerocket Media" u="1"/>
        <s v="Corporate Essentials" u="1"/>
        <s v="Globotech USA Corporation" u="1"/>
        <s v="Tech-Keys" u="1"/>
        <s v="Staff Matters" u="1"/>
        <s v="Midtown Home Improvements" u="1"/>
        <s v="Envision Capital Group" u="1"/>
        <s v="The Eye Doctors" u="1"/>
        <s v="Dempsey Construction" u="1"/>
        <s v="9Gauge Partners" u="1"/>
        <s v="Parsonex Enterprises" u="1"/>
        <s v="Baskervill" u="1"/>
        <s v="Consolidated Analytics" u="1"/>
        <s v="EDG" u="1"/>
        <s v="Aterra Real Estate" u="1"/>
        <s v="Azpro" u="1"/>
        <s v="CoTa Global" u="1"/>
        <s v="Scalar" u="1"/>
        <s v="Pro Mach" u="1"/>
        <s v="Fakhoury Global Immigration" u="1"/>
        <s v="Kenway Consulting" u="1"/>
        <s v="Avian" u="1"/>
        <s v="Trinity Solar" u="1"/>
        <s v="Relevant Web Strategies" u="1"/>
        <s v="Ingo Money" u="1"/>
        <s v="Aegis Law" u="1"/>
        <s v="Azimuth" u="1"/>
        <s v="Sriven Technologies" u="1"/>
        <s v="Bernard Health" u="1"/>
        <s v="Summit Wealth Group" u="1"/>
        <s v="Vantage Point" u="1"/>
        <s v="Path Interactive" u="1"/>
        <s v="Ameex Technologies" u="1"/>
        <s v="Highlands Residential Mortgage" u="1"/>
        <s v="Q Ship USA" u="1"/>
        <s v="Premier Automation" u="1"/>
        <s v="Source Alliance Network" u="1"/>
        <s v="TicketManager" u="1"/>
        <s v="Guaranteed Rate" u="1"/>
        <s v="Poetic Systems" u="1"/>
        <s v="Equator Coffees" u="1"/>
        <s v="Supreme Resources" u="1"/>
        <s v="Fuel Talent" u="1"/>
        <s v="United Real Estate Group" u="1"/>
        <s v="JW Construction" u="1"/>
        <s v="Intercare Therapy" u="1"/>
        <s v="Bizzell Corporation" u="1"/>
        <s v="Right Height Manufacturing" u="1"/>
        <s v="Special Aerospace Services" u="1"/>
        <s v="BM2 Freight Services" u="1"/>
        <s v="PMA" u="1"/>
        <s v="Compass Self Storage" u="1"/>
        <s v="The Woodhouse Day Spas" u="1"/>
        <s v="A&amp;P Air Conditioning" u="1"/>
        <s v="Myriad360" u="1"/>
        <s v="ZZPerformance" u="1"/>
        <s v="TengoInternet" u="1"/>
        <s v="Spoke Marketing" u="1"/>
        <s v="The Signature Real Estate Companies" u="1"/>
        <s v="Dreamclinic" u="1"/>
        <s v="PeopleG2" u="1"/>
        <s v="Involta" u="1"/>
        <s v="All Safe Industries" u="1"/>
        <s v="Law Offices of Anidjar" u="1"/>
        <s v="3Pillar Global" u="1"/>
        <s v="Double Good" u="1"/>
        <s v="Ascend Staffing" u="1"/>
        <s v="PICS ITech" u="1"/>
        <s v="Thermal-Vac Technology" u="1"/>
        <s v="Convergence Consulting Group" u="1"/>
        <s v="Rendition Infosec" u="1"/>
        <s v="Organicix" u="1"/>
        <s v="Sunny Days In-Home Care" u="1"/>
        <s v="Flowing Wells Landscape" u="1"/>
        <s v="Kinetix" u="1"/>
        <s v="TradeTec Skyline" u="1"/>
        <s v="Financial Carrier Services" u="1"/>
        <s v="Abacus Group" u="1"/>
        <s v="Educere" u="1"/>
        <s v="Silicus Technologies" u="1"/>
        <s v="SS Industries" u="1"/>
        <s v="IDS International Government Services" u="1"/>
        <s v="Windsong Productions" u="1"/>
        <s v="Insight Technology Solutions" u="1"/>
        <s v="RxLogix Corporation" u="1"/>
        <s v="Netsertive" u="1"/>
        <s v="Hooten Construction" u="1"/>
        <s v="Angler Construction" u="1"/>
        <s v="A-Tech Consulting" u="1"/>
        <s v="Transport Express" u="1"/>
        <s v="Force Marketing" u="1"/>
        <s v="Avizion Technologies Group Company" u="1"/>
        <s v="Atlantic Blowers" u="1"/>
        <s v="Vanguard Fire Systems" u="1"/>
        <s v="Seeking Health" u="1"/>
        <s v="Customized Energy Solutions" u="1"/>
        <s v="TM5 Properties" u="1"/>
        <s v="Ctems" u="1"/>
        <s v="Palmer Signs" u="1"/>
        <s v="PrimeRevenue" u="1"/>
        <s v="Morton" u="1"/>
        <s v="OPAV" u="1"/>
        <s v="Triangle Insights Group" u="1"/>
        <s v="180 Engineering" u="1"/>
        <s v="Powertrain Products" u="1"/>
        <s v="Comfort Supply" u="1"/>
        <s v="Oasis Turf &amp; Tree" u="1"/>
        <s v="Apex HCM" u="1"/>
        <s v="eTek IT Services" u="1"/>
        <s v="10Pearls" u="1"/>
        <s v="Factory Expo Home Centers" u="1"/>
        <s v="Kidd Roofing" u="1"/>
        <s v="Advanced Electronic Designs" u="1"/>
        <s v="Brewer &amp; Stratton Property Management" u="1"/>
        <s v="Americorp-The Matt Laricy Group" u="1"/>
        <s v="SBC Contractors" u="1"/>
        <s v="Artful Living" u="1"/>
        <s v="Crepes a Latte" u="1"/>
        <s v="MCCi" u="1"/>
        <s v="International Van Lines ( Ocean Star International )" u="1"/>
        <s v="LuminFire" u="1"/>
        <s v="Liquid Web" u="1"/>
        <s v="Sustainable Supply" u="1"/>
        <s v="EmpireWorks" u="1"/>
        <s v="Fresh Concepts" u="1"/>
        <s v="Highwire Public Relations" u="1"/>
        <s v="C&amp;H Baseball" u="1"/>
        <s v="OVM Financial" u="1"/>
        <s v="Biotech X-ray" u="1"/>
        <s v="IntraLogic Solutions" u="1"/>
        <s v="Invariant" u="1"/>
        <s v="TargetX.com" u="1"/>
        <s v="ForceBrands" u="1"/>
        <s v="Safety Management Group" u="1"/>
        <s v="Pure Financial Advisors" u="1"/>
        <s v="LINX" u="1"/>
        <s v="AvroKO" u="1"/>
        <s v="Morrow Family Medicine" u="1"/>
        <s v="ExpoMarketing Group" u="1"/>
        <s v="The Denzel Group" u="1"/>
        <s v="Rock Solid Stabilization" u="1"/>
        <s v="Brewer Enterprises" u="1"/>
        <s v="SoftClouds" u="1"/>
        <s v="SwipeClock" u="1"/>
        <s v="Ntiva" u="1"/>
        <s v="Infinite Windows" u="1"/>
        <s v="Quantum Workplace" u="1"/>
        <s v="MuniciPAY" u="1"/>
        <s v="Primary Staffing" u="1"/>
        <s v="Pyramid Technologies" u="1"/>
        <s v="The Credit Pros" u="1"/>
        <s v="Americollect" u="1"/>
        <s v="Nexgrill Industries" u="1"/>
        <s v="Cumming" u="1"/>
        <s v="Pinnacle Lodging" u="1"/>
        <s v="HazTek" u="1"/>
        <s v="Sentinel Security Solutions" u="1"/>
        <s v="Streamline Publishing" u="1"/>
        <s v="J.C. Restoration" u="1"/>
        <s v="Julianna Rae" u="1"/>
        <s v="Landscape Workshop" u="1"/>
        <s v="Sacramento Rack and Shelving" u="1"/>
        <s v="TouchSource" u="1"/>
        <s v="MSC Development" u="1"/>
        <s v="Innovative Office Solutions" u="1"/>
        <s v="VHA Prepaid Wireless" u="1"/>
        <s v="ARG - AgentHR Recruiting Group" u="1"/>
        <s v="TruTech Tools" u="1"/>
        <s v="Peterman Heating, Cooling &amp; Plumbing" u="1"/>
        <s v="Secure Medical" u="1"/>
        <s v="Klemchuk" u="1"/>
        <s v="SunDance Marketing Solutions" u="1"/>
        <s v="Accellis Technology Group" u="1"/>
        <s v="Dana's Bakery" u="1"/>
        <s v="Northside Tool Rental" u="1"/>
        <s v="Precision Laser Services" u="1"/>
        <s v="Softworld" u="1"/>
        <s v="Neogov" u="1"/>
        <s v="Meeting Tomorrow" u="1"/>
        <s v="Trilliant Surgical" u="1"/>
        <s v="MedSource" u="1"/>
        <s v="TechMD" u="1"/>
        <s v="Dynamic Systems" u="1"/>
        <s v="OPYS" u="1"/>
        <s v="The Copley Consulting Group" u="1"/>
        <s v="Clickstop" u="1"/>
        <s v="Weatherly Asset Management" u="1"/>
        <s v="Internet Creations" u="1"/>
        <s v="RebelMouse" u="1"/>
        <s v="Goldenhelix" u="1"/>
        <s v="InfoWorks" u="1"/>
        <s v="Motivworks" u="1"/>
        <s v="American Painting &amp; Renovations" u="1"/>
        <s v="Common Angle" u="1"/>
        <s v="Carpet Source" u="1"/>
        <s v="Annex Wealth Management" u="1"/>
        <s v="Modern Technology Solutions" u="1"/>
        <s v="Carolinas IT" u="1"/>
        <s v="Consolidated Asset Recovery Systems" u="1"/>
        <s v="MDG Connected Solutions" u="1"/>
        <s v="Park Square Homes" u="1"/>
        <s v="Benchmark Realty" u="1"/>
        <s v="BravoTECH" u="1"/>
        <s v="Butters Construction &amp; Development" u="1"/>
        <s v="XpoSolutions" u="1"/>
        <s v="S. Bravo Systems" u="1"/>
        <s v="K. Parks Consulting" u="1"/>
        <s v="W.A. Smith Financial Group" u="1"/>
        <s v="Just Ryt Foods" u="1"/>
        <s v="Van Horn Law Group, PA" u="1"/>
        <s v="Five Star Restoration" u="1"/>
        <s v="Rapid Response Marketing" u="1"/>
        <s v="Grobstein Teeple" u="1"/>
        <s v="Scalefast" u="1"/>
        <s v="J&amp;L Dimensional Services" u="1"/>
        <s v="LSS Life Safety Services" u="1"/>
        <s v="Cardinal Staffing Services" u="1"/>
        <s v="Plumbing &amp; HVAC SEO" u="1"/>
        <s v="Underground Printing" u="1"/>
        <s v="Bridge Partners" u="1"/>
        <s v="Advent Advisory Group" u="1"/>
        <s v="Total Maintenance Services" u="1"/>
        <s v="Improving" u="1"/>
        <s v="Corefact" u="1"/>
        <s v="Express Corporate Housing" u="1"/>
        <s v="Any Lab Test Now" u="1"/>
        <s v="Monster Technology" u="1"/>
        <s v="Reliable Pharmaceutical Returns" u="1"/>
        <s v="Smoothie King" u="1"/>
        <s v="Access Physical Therapy" u="1"/>
        <s v="Exhibitus" u="1"/>
        <s v="Scrimmage" u="1"/>
        <s v="Athaco" u="1"/>
        <s v="The Garland Company" u="1"/>
        <s v="MD Connect" u="1"/>
        <s v="4 Walls" u="1"/>
        <s v="Radiant Plumbing &amp; Air Conditioning" u="1"/>
        <s v="Medicus Healthcare Solutions" u="1"/>
        <s v="Duval's Fresh. Local. Seafood." u="1"/>
        <s v="Leigh Marcus | @properties" u="1"/>
        <s v="Dimensional Innovations" u="1"/>
        <s v="United Services Group" u="1"/>
        <s v="MGX Copy" u="1"/>
        <s v="Well Crafted Wine &amp; Beverage" u="1"/>
        <s v="Intelligent Logistics" u="1"/>
        <s v="Quaker Window Products" u="1"/>
        <s v="3nom" u="1"/>
        <s v="Netropole" u="1"/>
        <s v="NorthStar Restoration Services" u="1"/>
        <s v="SciSafe" u="1"/>
        <s v="Zipline Logistics" u="1"/>
        <s v="Intellifarms" u="1"/>
        <s v="Neostek" u="1"/>
        <s v="Dciny" u="1"/>
        <s v="ARServices" u="1"/>
        <s v="Black Clover Enterprises" u="1"/>
        <s v="Redtail Technology" u="1"/>
        <s v="Quality Mobile Home Services" u="1"/>
        <s v="List Partners" u="1"/>
        <s v="Ben Kinney Companies" u="1"/>
        <s v="Applied Imaging" u="1"/>
        <s v="Orthopedic Motion" u="1"/>
        <s v="Windhaven Insurance" u="1"/>
        <s v="Advice Media" u="1"/>
        <s v="SEAM Group" u="1"/>
        <s v="Studio Movie Grill" u="1"/>
        <s v="ACTenviro" u="1"/>
        <s v="Imperial Lighting Maintenance Company" u="1"/>
        <s v="Nexus Systems" u="1"/>
        <s v="Program Productions" u="1"/>
        <s v="ShoppersChoice.com dba BBQGuys" u="1"/>
        <s v="Plastic Molding Technology" u="1"/>
        <s v="L Squared Engineering" u="1"/>
        <s v="Monkee-Boy Web Design" u="1"/>
        <s v="Crown Coverings" u="1"/>
        <s v="Jones Therapy Services" u="1"/>
        <s v="Royal Interpack Group USA" u="1"/>
        <s v="Harmonics Consulting" u="1"/>
        <s v="SpaceBound" u="1"/>
        <s v="Schneller and Knochelmann Plumbing Heating and Air" u="1"/>
        <s v="Multilingual Connections" u="1"/>
        <s v="Image Systems" u="1"/>
        <s v="Universal Plant Services" u="1"/>
        <s v="Boston Government Services" u="1"/>
        <s v="MobileDemand" u="1"/>
        <s v="Buckfire &amp; Buckfire" u="1"/>
        <s v="Employment Screening Services" u="1"/>
        <s v="Certified Languages International" u="1"/>
        <s v="Empist" u="1"/>
        <s v="Secure Ideas" u="1"/>
        <s v="Sedona Soul Adventures" u="1"/>
        <s v="Debtmerica" u="1"/>
        <s v="Clarity Software Solutions" u="1"/>
        <s v="Mobile Advance" u="1"/>
        <s v="Eating Recovery Center" u="1"/>
        <s v="Career Support Systems" u="1"/>
        <s v="Coury &amp; Buehler Physical Therapy" u="1"/>
        <s v="Hughes Environmental" u="1"/>
        <s v="JKaiser Workspaces" u="1"/>
        <s v="Milosi" u="1"/>
        <s v="The Kingston Group" u="1"/>
        <s v="Rhythmlink International" u="1"/>
        <s v="Tech Guru" u="1"/>
        <s v="Priority Designs" u="1"/>
        <s v="Strategic Factory" u="1"/>
        <s v="Wet Sounds" u="1"/>
        <s v="SnapShot Interactive" u="1"/>
        <s v="GXA Network Solutions" u="1"/>
        <s v="Del Toro Loan Servicing" u="1"/>
        <s v="Xidax PCs" u="1"/>
        <s v="RF-Smart" u="1"/>
        <s v="Davenport Group" u="1"/>
        <s v="Century Solutions Group" u="1"/>
        <s v="Transport Services" u="1"/>
        <s v="Pariveda Solutions" u="1"/>
        <s v="Clarion Security" u="1"/>
        <s v="hrQ" u="1"/>
        <s v="Neta Scientific" u="1"/>
        <s v="Angeion Group" u="1"/>
        <s v="FIG" u="1"/>
        <s v="Keen 360" u="1"/>
        <s v="World of Wheels" u="1"/>
        <s v="Saffron Road Foods" u="1"/>
        <s v="Cap City Dental Lab" u="1"/>
        <s v="Next Day Dumpsters" u="1"/>
        <s v="Tapestry Technologies" u="1"/>
        <s v="ipipeline" u="1"/>
        <s v="7Summits" u="1"/>
        <s v="RAW Artists" u="1"/>
        <s v="3 Blind Mice Window Coverings" u="1"/>
        <s v="Infutor Data Solutions" u="1"/>
        <s v="RE 360" u="1"/>
        <s v="Sterling Computers" u="1"/>
        <s v="Constellation Software Engineering" u="1"/>
        <s v="Abacus Wealth Partners" u="1"/>
        <s v="Ebs Associates" u="1"/>
        <s v="Reach Sports Marketing Group" u="1"/>
        <s v="Oxi Fresh Carpet Cleaning" u="1"/>
        <s v="rezora" u="1"/>
        <s v="Barone Consulting" u="1"/>
        <s v="SkyPlanner" u="1"/>
        <s v="Rogers Healy and Associates Real Estate" u="1"/>
        <s v="Arora Engineers" u="1"/>
        <s v="Victor 12" u="1"/>
        <s v="Cassaday &amp; Company" u="1"/>
        <s v="Fresh Technology" u="1"/>
        <s v="ej4" u="1"/>
        <s v="Managed Solution" u="1"/>
        <s v="ClubDrive Systems" u="1"/>
        <s v="Gantom Lighting" u="1"/>
        <s v="Partner Assessment" u="1"/>
        <s v="Grapevine MSP Technology Services" u="1"/>
        <s v="Traffic Planning and Design" u="1"/>
        <s v="JPL" u="1"/>
        <s v="Meridian Star POS" u="1"/>
        <s v="Choura Events" u="1"/>
        <s v="Money Matters with Ken Moraif" u="1"/>
        <s v="Acquia" u="1"/>
        <s v="Wood Expressions" u="1"/>
        <s v="Softcrylic" u="1"/>
        <s v="Thread" u="1"/>
        <s v="Full Visibility" u="1"/>
        <s v="BizStream" u="1"/>
        <s v="American Technologies" u="1"/>
        <s v="Cold Jet" u="1"/>
        <s v="Mosaic Technologies Group" u="1"/>
        <s v="Bast Amron LLP" u="1"/>
        <s v="Kaplansky Insurance Agency" u="1"/>
        <s v="LINK Strategic Partners" u="1"/>
        <s v="Air Control Air Conditioning" u="1"/>
        <s v="CommCreative" u="1"/>
        <s v="Equus Software" u="1"/>
        <s v="pMD" u="1"/>
        <s v="Nina Hale" u="1"/>
        <s v="Five Lakes Professional Services" u="1"/>
        <s v="Vance Thompson Vision" u="1"/>
        <s v="NetPlanner Systems" u="1"/>
        <s v="OpenArc" u="1"/>
        <s v="Stonebrooke Engineering" u="1"/>
        <s v="Foreman Therapy Services" u="1"/>
        <s v="Computer Solutions East" u="1"/>
        <s v="Dobi &amp; Associates" u="1"/>
        <s v="Redpepper" u="1"/>
        <s v="W. L. French Excavating" u="1"/>
        <s v="US Logistics" u="1"/>
        <s v="KBTS Technologies" u="1"/>
        <s v="SecureStrux" u="1"/>
        <s v="McGill Restoration" u="1"/>
        <s v="The Greer Group" u="1"/>
        <s v="Zone Enterprises" u="1"/>
        <s v="Kidder Mathews" u="1"/>
        <s v="Creative Alignments" u="1"/>
        <s v="Muscular Moving Men &amp; Storage" u="1"/>
        <s v="Senior1Care" u="1"/>
        <s v="Datatility" u="1"/>
        <s v="Evok Advertising" u="1"/>
        <s v="Extension" u="1"/>
        <s v="Sovereign Lending Group" u="1"/>
        <s v="Veracity Consulting" u="1"/>
        <s v="Quest National Services" u="1"/>
        <s v="High Level Marketing" u="1"/>
        <s v="4CITE Marketing" u="1"/>
        <s v="Liquid Technology" u="1"/>
        <s v="The Event Studio" u="1"/>
        <s v="Ion Exhibits" u="1"/>
        <s v="Reliant Foodservice" u="1"/>
        <s v="Argent Financial Group" u="1"/>
        <s v="ThreePDS" u="1"/>
        <s v="BODY DETAILS" u="1"/>
        <s v="All-American Pest Control" u="1"/>
        <s v="Timmons Group" u="1"/>
        <s v="American Drapery Systems" u="1"/>
        <s v="Noble Capital Group" u="1"/>
        <s v="Environmental Lights" u="1"/>
        <s v="ShipOffers" u="1"/>
        <s v="Gen3 Marketing" u="1"/>
        <s v="Harvest Software Solutions" u="1"/>
        <s v="Snap36" u="1"/>
        <s v="TekCommands" u="1"/>
        <s v="Horizontal Integration" u="1"/>
        <s v="Manifold" u="1"/>
        <s v="Profit Builders" u="1"/>
        <s v="MicroSystems Automation Group" u="1"/>
        <s v="Hirewell" u="1"/>
        <s v="Meathead Movers" u="1"/>
        <s v="Freedom Information Systems" u="1"/>
        <s v="In Store Experience" u="1"/>
        <s v="CKD Technology Partners" u="1"/>
        <s v="CivicMinds" u="1"/>
        <s v="(Add)ventures" u="1"/>
        <s v="Agent Elite" u="1"/>
        <s v="Frontier Truck Gear" u="1"/>
        <s v="Page Per Page" u="1"/>
        <s v="360 Wraps" u="1"/>
        <s v="Audio Visual Management Solutions" u="1"/>
        <s v="WaterSports Central" u="1"/>
        <s v="Red Caffeine" u="1"/>
        <s v="Netria Corporation" u="1"/>
        <s v="Tayse International Trading" u="1"/>
        <s v="Open Sky Group" u="1"/>
        <s v="Procentrix" u="1"/>
        <s v="Avenue Link" u="1"/>
        <s v="Vantage Outsourcing" u="1"/>
        <s v="WTWH Media" u="1"/>
        <s v="Across Borders Management Consulting Group" u="1"/>
        <s v="Clayton Signs" u="1"/>
        <s v="UpSellit" u="1"/>
        <s v="Pavone Marketing Group" u="1"/>
        <s v="Blount Fine Foods" u="1"/>
        <s v="280 Group" u="1"/>
        <s v="Virtual Supply" u="1"/>
        <s v="Green Mountain Technology" u="1"/>
        <s v="Paradigm Sample" u="1"/>
        <s v="LaSalle Network" u="1"/>
        <s v="Team Velocity" u="1"/>
        <s v="SofterWare" u="1"/>
        <s v="Trextel" u="1"/>
        <s v="John Greene Realtor" u="1"/>
        <s v="Johnston Architectural Systems" u="1"/>
        <s v="Wine Cellar International" u="1"/>
        <s v="Tekla Research" u="1"/>
        <s v="Perfecta" u="1"/>
        <s v="Green Lawn Fertilizing" u="1"/>
        <s v="Icube Consultancy Services" u="1"/>
        <s v="Access TCA" u="1"/>
        <s v="Intercambio Express" u="1"/>
        <s v="Precision Machinery Systems" u="1"/>
        <s v="Audacious Inquiry" u="1"/>
        <s v="USA Financial" u="1"/>
        <s v="Bankers Healthcare Group" u="1"/>
        <s v="MMI Engineered Solutions" u="1"/>
        <s v="Miles Technologies" u="1"/>
        <s v="Centurion Land Title" u="1"/>
        <s v="Data Path" u="1"/>
        <s v="Cogent Solutions" u="1"/>
        <s v="Oceans Healthcare" u="1"/>
        <s v="Adelante Consulting" u="1"/>
        <s v="Proliant" u="1"/>
        <s v="American Specialty Health" u="1"/>
        <s v="Western Timber Frame" u="1"/>
        <s v="Exact Data" u="1"/>
        <s v="Corevist" u="1"/>
        <s v="M9 Solutions" u="1"/>
        <s v="Monogram Foods" u="1"/>
        <s v="WorkForce Software" u="1"/>
        <s v="Morris - Sockle, PLLC" u="1"/>
        <s v="Drexel Building Supply" u="1"/>
        <s v="Alliance 2020" u="1"/>
        <s v="ClearlyRated" u="1"/>
        <s v="Americaneagle.com" u="1"/>
        <s v="Freedom Boat Club" u="1"/>
        <s v="The SMB Help Desk" u="1"/>
        <s v="Malone Media Group" u="1"/>
        <s v="The Perfect Workout" u="1"/>
        <s v="Spur" u="1"/>
        <s v="Jetco Delivery" u="1"/>
        <s v="Internet Marketing Expert Group" u="1"/>
        <s v="Jackson Design and Remodeling" u="1"/>
        <s v="MSNW Group" u="1"/>
        <s v="Starfire Direct" u="1"/>
        <s v="Advantage Gold" u="1"/>
        <s v="Film Solutions" u="1"/>
        <s v="Dymax" u="1"/>
        <s v="Equip Studio" u="1"/>
        <s v="SUNation Solar Systems" u="1"/>
        <s v="iMarket Solutions" u="1"/>
        <s v="Vector Choice Technology Solutions" u="1"/>
        <s v="Taco Truck Creative" u="1"/>
        <s v="Smart Energy Today" u="1"/>
        <s v="Distillery" u="1"/>
        <s v="American Thermal Systems" u="1"/>
        <s v="Red Six Media" u="1"/>
        <s v="Gemini Power Systems" u="1"/>
        <s v="Golden Star Technology" u="1"/>
        <s v="Village Plumbing &amp; Air" u="1"/>
        <s v="Real Restoration Group" u="1"/>
        <s v="Naval Systems" u="1"/>
        <s v="HNM Systems" u="1"/>
        <s v="Vivayic" u="1"/>
      </sharedItems>
    </cacheField>
    <cacheField name="State" numFmtId="0">
      <sharedItems count="51">
        <s v="AZ"/>
        <s v="TN"/>
        <s v="TX"/>
        <s v="NM"/>
        <s v="PA"/>
        <s v="FL"/>
        <s v="NJ"/>
        <s v="VA"/>
        <s v="OH"/>
        <s v="CA"/>
        <s v="CO"/>
        <s v="WA"/>
        <s v="NY"/>
        <s v="GA"/>
        <s v="KY"/>
        <s v="ID"/>
        <s v="UT"/>
        <s v="MT"/>
        <s v="NC"/>
        <s v="WI"/>
        <s v="MI"/>
        <s v="MD"/>
        <s v="MN"/>
        <s v="AL"/>
        <s v="MA"/>
        <s v="ME"/>
        <s v="KS"/>
        <s v="IL"/>
        <s v="CT"/>
        <s v="NV"/>
        <s v="ND"/>
        <s v="NH"/>
        <s v="MO"/>
        <s v="IN"/>
        <s v="DC"/>
        <s v="NE"/>
        <s v="WY"/>
        <s v="SC"/>
        <s v="LA"/>
        <s v="PR"/>
        <s v="OR"/>
        <s v="IA"/>
        <s v="OK"/>
        <s v="AR" u="1"/>
        <s v="DE" u="1"/>
        <s v="SD" u="1"/>
        <s v="WV" u="1"/>
        <s v="MS" u="1"/>
        <s v="VT" u="1"/>
        <s v="HI" u="1"/>
        <s v="RI" u="1"/>
      </sharedItems>
    </cacheField>
    <cacheField name="Full State Name" numFmtId="0">
      <sharedItems count="43">
        <s v="Arizona"/>
        <s v="Tennessee"/>
        <s v="Texas"/>
        <s v="New Mexico"/>
        <s v="Pennsylvania"/>
        <s v="Florida"/>
        <s v="New Jersey"/>
        <s v="Virginia"/>
        <s v="Ohio"/>
        <s v="California"/>
        <s v="Colorado"/>
        <s v="Washington"/>
        <s v="New York"/>
        <s v="Georgia"/>
        <s v="Kentucky"/>
        <s v="Idaho"/>
        <s v="Utah"/>
        <s v="Montana"/>
        <s v="North Carolina"/>
        <s v="Wisconsin"/>
        <s v="Michigan"/>
        <s v="Maryland"/>
        <s v="Minnesota"/>
        <s v="Alabama"/>
        <s v="Massachusetts"/>
        <s v="Maine"/>
        <s v="Kansas"/>
        <s v="Illinois"/>
        <s v="Connecticut"/>
        <s v="Nevada"/>
        <s v="North Dakota"/>
        <s v="New Hampshire"/>
        <s v="Missouri"/>
        <s v="Indiana"/>
        <s v="District of Columbia"/>
        <s v="Nebraska"/>
        <s v="Wyoming"/>
        <s v="South Carolina"/>
        <s v="Louisiana"/>
        <s v="Puerto Rico"/>
        <s v="Oregon"/>
        <s v="Iowa"/>
        <s v="Oklahoma"/>
      </sharedItems>
    </cacheField>
    <cacheField name="Revenue" numFmtId="165">
      <sharedItems containsSemiMixedTypes="0" containsString="0" containsNumber="1" minValue="2000000" maxValue="726100000"/>
    </cacheField>
    <cacheField name="Growth_%" numFmtId="2">
      <sharedItems containsSemiMixedTypes="0" containsString="0" containsNumber="1" minValue="735.79380000000003" maxValue="36680.388200000001"/>
    </cacheField>
    <cacheField name="Industry" numFmtId="0">
      <sharedItems count="27">
        <s v="Advertising &amp; Marketing"/>
        <s v="Logistics &amp; Transportation"/>
        <s v="Food &amp; Beverage"/>
        <s v="Consumer Products &amp; Services"/>
        <s v="Retail"/>
        <s v="Health"/>
        <s v="Telecommunications"/>
        <s v="Financial Services"/>
        <s v="Computer Hardware"/>
        <s v="Software"/>
        <s v="Energy"/>
        <s v="Government Services"/>
        <s v="Real Estate"/>
        <s v="Manufacturing"/>
        <s v="Media"/>
        <s v="Construction"/>
        <s v="IT System Development"/>
        <s v="Travel &amp; Hospitality"/>
        <s v="Security"/>
        <s v="IT Management"/>
        <s v="Human Resources"/>
        <s v="Environmental Services"/>
        <s v="Insurance"/>
        <s v="Business Products &amp; Services"/>
        <s v="Education"/>
        <s v="Engineering"/>
        <s v="IT Services" u="1"/>
      </sharedItems>
    </cacheField>
    <cacheField name="Workers" numFmtId="0">
      <sharedItems containsSemiMixedTypes="0" containsString="0" containsNumber="1" containsInteger="1" minValue="2" maxValue="4572"/>
    </cacheField>
    <cacheField name="Previous_workers" numFmtId="0">
      <sharedItems containsSemiMixedTypes="0" containsString="0" containsNumber="1" containsInteger="1" minValue="1" maxValue="500"/>
    </cacheField>
    <cacheField name="Founded" numFmtId="0">
      <sharedItems containsSemiMixedTypes="0" containsString="0" containsNumber="1" containsInteger="1" minValue="1909" maxValue="2015"/>
    </cacheField>
    <cacheField name="Years_on_list" numFmtId="0">
      <sharedItems containsSemiMixedTypes="0" containsString="0" containsNumber="1" containsInteger="1" minValue="1" maxValue="8"/>
    </cacheField>
    <cacheField name="City" numFmtId="0">
      <sharedItems/>
    </cacheField>
    <cacheField name="Average Revenue for 5" numFmtId="0" formula="Revenue/Industry" databaseField="0"/>
    <cacheField name="delta workers" numFmtId="0" formula="Workers-Previous_workers" databaseField="0"/>
    <cacheField name="Revenue per Worker" numFmtId="0" formula="Revenue/Workers" databaseField="0"/>
  </cacheFields>
  <extLst>
    <ext xmlns:x14="http://schemas.microsoft.com/office/spreadsheetml/2009/9/main" uri="{725AE2AE-9491-48be-B2B4-4EB974FC3084}">
      <x14:pivotCacheDefinition pivotCacheId="1320799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3">
  <r>
    <n v="1"/>
    <x v="0"/>
    <x v="0"/>
    <x v="0"/>
    <n v="36900000"/>
    <n v="36680.388200000001"/>
    <x v="0"/>
    <n v="40"/>
    <n v="5"/>
    <n v="2015"/>
    <n v="1"/>
    <s v="Phoenix"/>
  </r>
  <r>
    <n v="2"/>
    <x v="1"/>
    <x v="1"/>
    <x v="1"/>
    <n v="33600000"/>
    <n v="30547.931700000001"/>
    <x v="1"/>
    <n v="39"/>
    <n v="8"/>
    <n v="2015"/>
    <n v="1"/>
    <s v="Brentwood"/>
  </r>
  <r>
    <n v="3"/>
    <x v="2"/>
    <x v="2"/>
    <x v="2"/>
    <n v="24900000"/>
    <n v="23880.485199999999"/>
    <x v="2"/>
    <n v="190"/>
    <n v="10"/>
    <n v="2015"/>
    <n v="1"/>
    <s v="Austin"/>
  </r>
  <r>
    <n v="4"/>
    <x v="3"/>
    <x v="3"/>
    <x v="3"/>
    <n v="32400000"/>
    <n v="21849.892500000002"/>
    <x v="3"/>
    <n v="57"/>
    <n v="2"/>
    <n v="2014"/>
    <n v="1"/>
    <s v="Albuquerque"/>
  </r>
  <r>
    <n v="5"/>
    <x v="4"/>
    <x v="4"/>
    <x v="4"/>
    <n v="22500000"/>
    <n v="18166.406999999999"/>
    <x v="4"/>
    <n v="25"/>
    <n v="6"/>
    <n v="2014"/>
    <n v="1"/>
    <s v="Philadelphia"/>
  </r>
  <r>
    <n v="6"/>
    <x v="5"/>
    <x v="5"/>
    <x v="5"/>
    <n v="271800000"/>
    <n v="14183.4118"/>
    <x v="5"/>
    <n v="742"/>
    <n v="18"/>
    <n v="2009"/>
    <n v="1"/>
    <s v="Miami"/>
  </r>
  <r>
    <n v="7"/>
    <x v="6"/>
    <x v="6"/>
    <x v="6"/>
    <n v="20500000"/>
    <n v="13480.731"/>
    <x v="3"/>
    <n v="12"/>
    <n v="1"/>
    <n v="2014"/>
    <n v="1"/>
    <s v="Hoboken"/>
  </r>
  <r>
    <n v="8"/>
    <x v="7"/>
    <x v="7"/>
    <x v="7"/>
    <n v="23300000"/>
    <n v="12700.658799999999"/>
    <x v="6"/>
    <n v="72"/>
    <n v="1"/>
    <n v="2015"/>
    <n v="1"/>
    <s v="Mechanicsville"/>
  </r>
  <r>
    <n v="9"/>
    <x v="8"/>
    <x v="8"/>
    <x v="8"/>
    <n v="225900000"/>
    <n v="12564.536400000001"/>
    <x v="5"/>
    <n v="60"/>
    <n v="10"/>
    <n v="2008"/>
    <n v="1"/>
    <s v="Cleveland"/>
  </r>
  <r>
    <n v="10"/>
    <x v="9"/>
    <x v="9"/>
    <x v="9"/>
    <n v="21400000"/>
    <n v="11996.296399999999"/>
    <x v="0"/>
    <n v="37"/>
    <n v="5"/>
    <n v="2014"/>
    <n v="1"/>
    <s v="Los Angeles"/>
  </r>
  <r>
    <n v="11"/>
    <x v="10"/>
    <x v="10"/>
    <x v="10"/>
    <n v="13900000"/>
    <n v="11949.179"/>
    <x v="3"/>
    <n v="40"/>
    <n v="2"/>
    <n v="2014"/>
    <n v="1"/>
    <s v="Denver"/>
  </r>
  <r>
    <n v="12"/>
    <x v="11"/>
    <x v="7"/>
    <x v="7"/>
    <n v="30300000"/>
    <n v="11632.8771"/>
    <x v="1"/>
    <n v="226"/>
    <n v="18"/>
    <n v="2013"/>
    <n v="1"/>
    <s v="VIenna"/>
  </r>
  <r>
    <n v="13"/>
    <x v="12"/>
    <x v="11"/>
    <x v="11"/>
    <n v="19100000"/>
    <n v="11622.5291"/>
    <x v="2"/>
    <n v="23"/>
    <n v="3"/>
    <n v="2013"/>
    <n v="1"/>
    <s v="Bellevue"/>
  </r>
  <r>
    <n v="14"/>
    <x v="13"/>
    <x v="12"/>
    <x v="12"/>
    <n v="19100000"/>
    <n v="10561.7147"/>
    <x v="7"/>
    <n v="66"/>
    <n v="10"/>
    <n v="2015"/>
    <n v="1"/>
    <s v="New York"/>
  </r>
  <r>
    <n v="15"/>
    <x v="14"/>
    <x v="9"/>
    <x v="9"/>
    <n v="17300000"/>
    <n v="10175.755300000001"/>
    <x v="0"/>
    <n v="109"/>
    <n v="8"/>
    <n v="2014"/>
    <n v="3"/>
    <s v="Los Angeles"/>
  </r>
  <r>
    <n v="16"/>
    <x v="15"/>
    <x v="12"/>
    <x v="12"/>
    <n v="10700000"/>
    <n v="9753.2009999999991"/>
    <x v="0"/>
    <n v="110"/>
    <n v="3"/>
    <n v="2015"/>
    <n v="1"/>
    <s v="New York"/>
  </r>
  <r>
    <n v="17"/>
    <x v="16"/>
    <x v="13"/>
    <x v="13"/>
    <n v="105800000"/>
    <n v="9265.2405999999992"/>
    <x v="7"/>
    <n v="190"/>
    <n v="32"/>
    <n v="2014"/>
    <n v="1"/>
    <s v="Kennesaw"/>
  </r>
  <r>
    <n v="18"/>
    <x v="17"/>
    <x v="12"/>
    <x v="12"/>
    <n v="19000000"/>
    <n v="9179.3318999999992"/>
    <x v="3"/>
    <n v="14"/>
    <n v="2"/>
    <n v="2013"/>
    <n v="1"/>
    <s v="New York"/>
  </r>
  <r>
    <n v="19"/>
    <x v="18"/>
    <x v="9"/>
    <x v="9"/>
    <n v="24400000"/>
    <n v="8656.9531999999999"/>
    <x v="5"/>
    <n v="191"/>
    <n v="66"/>
    <n v="2006"/>
    <n v="1"/>
    <s v="Laguna Hills"/>
  </r>
  <r>
    <n v="20"/>
    <x v="19"/>
    <x v="9"/>
    <x v="9"/>
    <n v="9600000"/>
    <n v="8543.9807999999994"/>
    <x v="3"/>
    <n v="35"/>
    <n v="2"/>
    <n v="2015"/>
    <n v="1"/>
    <s v="Oceanside"/>
  </r>
  <r>
    <n v="21"/>
    <x v="20"/>
    <x v="14"/>
    <x v="14"/>
    <n v="10200000"/>
    <n v="8327.0956000000006"/>
    <x v="5"/>
    <n v="45"/>
    <n v="1"/>
    <n v="2015"/>
    <n v="1"/>
    <s v="Nicholasville"/>
  </r>
  <r>
    <n v="22"/>
    <x v="21"/>
    <x v="5"/>
    <x v="5"/>
    <n v="11900000"/>
    <n v="8282.8667999999998"/>
    <x v="8"/>
    <n v="12"/>
    <n v="2"/>
    <n v="2014"/>
    <n v="1"/>
    <s v="The Villages"/>
  </r>
  <r>
    <n v="23"/>
    <x v="22"/>
    <x v="15"/>
    <x v="15"/>
    <n v="13800000"/>
    <n v="7965.9741000000004"/>
    <x v="9"/>
    <n v="37"/>
    <n v="10"/>
    <n v="2013"/>
    <n v="2"/>
    <s v="Boise"/>
  </r>
  <r>
    <n v="24"/>
    <x v="23"/>
    <x v="9"/>
    <x v="9"/>
    <n v="10500000"/>
    <n v="7926.4243999999999"/>
    <x v="9"/>
    <n v="70"/>
    <n v="5"/>
    <n v="2015"/>
    <n v="1"/>
    <s v="San Francisco"/>
  </r>
  <r>
    <n v="25"/>
    <x v="24"/>
    <x v="16"/>
    <x v="16"/>
    <n v="8900000"/>
    <n v="7478.1477999999997"/>
    <x v="9"/>
    <n v="42"/>
    <n v="2"/>
    <n v="2015"/>
    <n v="1"/>
    <s v="Orem"/>
  </r>
  <r>
    <n v="26"/>
    <x v="25"/>
    <x v="2"/>
    <x v="2"/>
    <n v="128199999.99999999"/>
    <n v="7426.8072000000002"/>
    <x v="10"/>
    <n v="191"/>
    <n v="14"/>
    <n v="2015"/>
    <n v="1"/>
    <s v="College Station"/>
  </r>
  <r>
    <n v="27"/>
    <x v="26"/>
    <x v="7"/>
    <x v="7"/>
    <n v="15800000"/>
    <n v="7329.3793999999998"/>
    <x v="11"/>
    <n v="191"/>
    <n v="7"/>
    <n v="2013"/>
    <n v="1"/>
    <s v="Colonial Heights"/>
  </r>
  <r>
    <n v="28"/>
    <x v="27"/>
    <x v="15"/>
    <x v="15"/>
    <n v="7800000"/>
    <n v="7301.3353999999999"/>
    <x v="12"/>
    <n v="8"/>
    <n v="1"/>
    <n v="2014"/>
    <n v="2"/>
    <s v="Boise"/>
  </r>
  <r>
    <n v="29"/>
    <x v="28"/>
    <x v="17"/>
    <x v="17"/>
    <n v="11800000"/>
    <n v="7045.3630999999996"/>
    <x v="9"/>
    <n v="60"/>
    <n v="3"/>
    <n v="2014"/>
    <n v="1"/>
    <s v="Missoula"/>
  </r>
  <r>
    <n v="30"/>
    <x v="29"/>
    <x v="5"/>
    <x v="5"/>
    <n v="156000000"/>
    <n v="6900.2519000000002"/>
    <x v="5"/>
    <n v="37"/>
    <n v="6"/>
    <n v="2015"/>
    <n v="1"/>
    <s v="Boca Raton"/>
  </r>
  <r>
    <n v="31"/>
    <x v="30"/>
    <x v="5"/>
    <x v="5"/>
    <n v="20400000"/>
    <n v="6870.9856"/>
    <x v="12"/>
    <n v="51"/>
    <n v="35"/>
    <n v="2014"/>
    <n v="2"/>
    <s v="Tampa"/>
  </r>
  <r>
    <n v="32"/>
    <x v="31"/>
    <x v="11"/>
    <x v="11"/>
    <n v="10200000"/>
    <n v="6641.6792999999998"/>
    <x v="3"/>
    <n v="21"/>
    <n v="4"/>
    <n v="2013"/>
    <n v="1"/>
    <s v="Seattle"/>
  </r>
  <r>
    <n v="33"/>
    <x v="32"/>
    <x v="1"/>
    <x v="1"/>
    <n v="7200000"/>
    <n v="6492.7884000000004"/>
    <x v="13"/>
    <n v="21"/>
    <n v="3"/>
    <n v="2013"/>
    <n v="1"/>
    <s v="Knoxville"/>
  </r>
  <r>
    <n v="34"/>
    <x v="33"/>
    <x v="18"/>
    <x v="18"/>
    <n v="20800000"/>
    <n v="6388.3661000000002"/>
    <x v="14"/>
    <n v="21"/>
    <n v="6"/>
    <n v="2010"/>
    <n v="1"/>
    <s v="Apex"/>
  </r>
  <r>
    <n v="35"/>
    <x v="34"/>
    <x v="19"/>
    <x v="19"/>
    <n v="162600000"/>
    <n v="6382.9368000000004"/>
    <x v="1"/>
    <n v="38"/>
    <n v="13"/>
    <n v="2013"/>
    <n v="3"/>
    <s v="Madison"/>
  </r>
  <r>
    <n v="36"/>
    <x v="35"/>
    <x v="20"/>
    <x v="20"/>
    <n v="48900000"/>
    <n v="6337.2973000000002"/>
    <x v="15"/>
    <n v="52"/>
    <n v="2"/>
    <n v="2014"/>
    <n v="1"/>
    <s v="Southfield"/>
  </r>
  <r>
    <n v="37"/>
    <x v="36"/>
    <x v="10"/>
    <x v="10"/>
    <n v="24000000"/>
    <n v="6287.4646000000002"/>
    <x v="3"/>
    <n v="11"/>
    <n v="5"/>
    <n v="2013"/>
    <n v="1"/>
    <s v="Parker"/>
  </r>
  <r>
    <n v="38"/>
    <x v="37"/>
    <x v="21"/>
    <x v="21"/>
    <n v="17500000"/>
    <n v="6176.6895999999997"/>
    <x v="12"/>
    <n v="85"/>
    <n v="25"/>
    <n v="2012"/>
    <n v="2"/>
    <s v="Bethesda"/>
  </r>
  <r>
    <n v="39"/>
    <x v="38"/>
    <x v="2"/>
    <x v="2"/>
    <n v="45200000"/>
    <n v="6145.4571999999998"/>
    <x v="15"/>
    <n v="27"/>
    <n v="7"/>
    <n v="2013"/>
    <n v="2"/>
    <s v="The Woodlands"/>
  </r>
  <r>
    <n v="40"/>
    <x v="39"/>
    <x v="2"/>
    <x v="2"/>
    <n v="15200000"/>
    <n v="6134.3501999999999"/>
    <x v="16"/>
    <n v="71"/>
    <n v="1"/>
    <n v="2014"/>
    <n v="1"/>
    <s v="Dallas"/>
  </r>
  <r>
    <n v="41"/>
    <x v="40"/>
    <x v="12"/>
    <x v="12"/>
    <n v="8300000.0000000009"/>
    <n v="6055.9447"/>
    <x v="4"/>
    <n v="13"/>
    <n v="2"/>
    <n v="2014"/>
    <n v="1"/>
    <s v="New York"/>
  </r>
  <r>
    <n v="42"/>
    <x v="41"/>
    <x v="12"/>
    <x v="12"/>
    <n v="6400000"/>
    <n v="6017.8863000000001"/>
    <x v="12"/>
    <n v="41"/>
    <n v="5"/>
    <n v="2014"/>
    <n v="1"/>
    <s v="New York"/>
  </r>
  <r>
    <n v="43"/>
    <x v="42"/>
    <x v="9"/>
    <x v="9"/>
    <n v="7000000"/>
    <n v="5935.6786000000002"/>
    <x v="17"/>
    <n v="15"/>
    <n v="1"/>
    <n v="2014"/>
    <n v="2"/>
    <s v="Los Angeles"/>
  </r>
  <r>
    <n v="44"/>
    <x v="43"/>
    <x v="12"/>
    <x v="12"/>
    <n v="8800000"/>
    <n v="5852.2148999999999"/>
    <x v="0"/>
    <n v="40"/>
    <n v="12"/>
    <n v="2014"/>
    <n v="1"/>
    <s v="New York"/>
  </r>
  <r>
    <n v="45"/>
    <x v="44"/>
    <x v="9"/>
    <x v="9"/>
    <n v="6200000"/>
    <n v="5835.3894"/>
    <x v="15"/>
    <n v="10"/>
    <n v="2"/>
    <n v="2004"/>
    <n v="1"/>
    <s v="Concord"/>
  </r>
  <r>
    <n v="46"/>
    <x v="45"/>
    <x v="12"/>
    <x v="12"/>
    <n v="16900000"/>
    <n v="5768.1832999999997"/>
    <x v="9"/>
    <n v="56"/>
    <n v="7"/>
    <n v="2014"/>
    <n v="1"/>
    <s v="New York"/>
  </r>
  <r>
    <n v="47"/>
    <x v="46"/>
    <x v="4"/>
    <x v="4"/>
    <n v="6300000"/>
    <n v="5638.3886000000002"/>
    <x v="18"/>
    <n v="46"/>
    <n v="5"/>
    <n v="2013"/>
    <n v="1"/>
    <s v="Allentown"/>
  </r>
  <r>
    <n v="48"/>
    <x v="47"/>
    <x v="22"/>
    <x v="22"/>
    <n v="9800000"/>
    <n v="5638.0311000000002"/>
    <x v="19"/>
    <n v="86"/>
    <n v="3"/>
    <n v="2014"/>
    <n v="1"/>
    <s v="Minneapolis"/>
  </r>
  <r>
    <n v="49"/>
    <x v="48"/>
    <x v="9"/>
    <x v="9"/>
    <n v="7100000"/>
    <n v="5634.3140999999996"/>
    <x v="5"/>
    <n v="22"/>
    <n v="6"/>
    <n v="2010"/>
    <n v="1"/>
    <s v="Rancho Cordova"/>
  </r>
  <r>
    <n v="50"/>
    <x v="49"/>
    <x v="21"/>
    <x v="21"/>
    <n v="48500000"/>
    <n v="5484.3681999999999"/>
    <x v="20"/>
    <n v="500"/>
    <n v="70"/>
    <n v="2012"/>
    <n v="3"/>
    <s v="Clarksburg"/>
  </r>
  <r>
    <n v="51"/>
    <x v="50"/>
    <x v="12"/>
    <x v="12"/>
    <n v="25000000"/>
    <n v="5449.6419999999998"/>
    <x v="7"/>
    <n v="400"/>
    <n v="4"/>
    <n v="2011"/>
    <n v="1"/>
    <s v="Melville"/>
  </r>
  <r>
    <n v="52"/>
    <x v="51"/>
    <x v="16"/>
    <x v="16"/>
    <n v="42500000"/>
    <n v="5416.8842000000004"/>
    <x v="9"/>
    <n v="430"/>
    <n v="17"/>
    <n v="2014"/>
    <n v="2"/>
    <s v="Lehi"/>
  </r>
  <r>
    <n v="53"/>
    <x v="52"/>
    <x v="2"/>
    <x v="2"/>
    <n v="23900000"/>
    <n v="5059.5724"/>
    <x v="21"/>
    <n v="60"/>
    <n v="7"/>
    <n v="2012"/>
    <n v="3"/>
    <s v="Houston"/>
  </r>
  <r>
    <n v="54"/>
    <x v="53"/>
    <x v="2"/>
    <x v="2"/>
    <n v="58800000"/>
    <n v="4978.2687999999998"/>
    <x v="22"/>
    <n v="87"/>
    <n v="20"/>
    <n v="2014"/>
    <n v="2"/>
    <s v="Irving"/>
  </r>
  <r>
    <n v="55"/>
    <x v="54"/>
    <x v="23"/>
    <x v="23"/>
    <n v="5100000"/>
    <n v="4971.4548999999997"/>
    <x v="23"/>
    <n v="30"/>
    <n v="2"/>
    <n v="2015"/>
    <n v="1"/>
    <s v="Birmingham"/>
  </r>
  <r>
    <n v="56"/>
    <x v="55"/>
    <x v="24"/>
    <x v="24"/>
    <n v="8000000"/>
    <n v="4916.2166999999999"/>
    <x v="3"/>
    <n v="25"/>
    <n v="8"/>
    <n v="2014"/>
    <n v="1"/>
    <s v="Acton"/>
  </r>
  <r>
    <n v="57"/>
    <x v="56"/>
    <x v="8"/>
    <x v="8"/>
    <n v="7800000"/>
    <n v="4908.4032999999999"/>
    <x v="3"/>
    <n v="7"/>
    <n v="4"/>
    <n v="2013"/>
    <n v="1"/>
    <s v="Mason"/>
  </r>
  <r>
    <n v="58"/>
    <x v="57"/>
    <x v="20"/>
    <x v="20"/>
    <n v="25900000"/>
    <n v="4899.0268999999998"/>
    <x v="3"/>
    <n v="30"/>
    <n v="6"/>
    <n v="2015"/>
    <n v="1"/>
    <s v="Oak Park"/>
  </r>
  <r>
    <n v="59"/>
    <x v="58"/>
    <x v="12"/>
    <x v="12"/>
    <n v="107600000"/>
    <n v="4838.0226000000002"/>
    <x v="5"/>
    <n v="116"/>
    <n v="70"/>
    <n v="2008"/>
    <n v="2"/>
    <s v="New York"/>
  </r>
  <r>
    <n v="60"/>
    <x v="59"/>
    <x v="10"/>
    <x v="10"/>
    <n v="42400000"/>
    <n v="4820.2664999999997"/>
    <x v="9"/>
    <n v="254"/>
    <n v="25"/>
    <n v="2012"/>
    <n v="2"/>
    <s v="Greenwood Village"/>
  </r>
  <r>
    <n v="61"/>
    <x v="60"/>
    <x v="13"/>
    <x v="13"/>
    <n v="21500000"/>
    <n v="4730.0523000000003"/>
    <x v="9"/>
    <n v="162"/>
    <n v="21"/>
    <n v="2014"/>
    <n v="1"/>
    <s v="Atlanta"/>
  </r>
  <r>
    <n v="62"/>
    <x v="61"/>
    <x v="5"/>
    <x v="5"/>
    <n v="21000000"/>
    <n v="4469.2112999999999"/>
    <x v="2"/>
    <n v="8"/>
    <n v="1"/>
    <n v="2012"/>
    <n v="2"/>
    <s v="Naples"/>
  </r>
  <r>
    <n v="63"/>
    <x v="62"/>
    <x v="11"/>
    <x v="11"/>
    <n v="44600000"/>
    <n v="4442.2488000000003"/>
    <x v="13"/>
    <n v="100"/>
    <n v="3"/>
    <n v="2007"/>
    <n v="1"/>
    <s v="Seattle"/>
  </r>
  <r>
    <n v="64"/>
    <x v="63"/>
    <x v="18"/>
    <x v="18"/>
    <n v="5800000"/>
    <n v="4430.1379999999999"/>
    <x v="9"/>
    <n v="28"/>
    <n v="3"/>
    <n v="2014"/>
    <n v="1"/>
    <s v="Chapel Hill"/>
  </r>
  <r>
    <n v="65"/>
    <x v="64"/>
    <x v="7"/>
    <x v="7"/>
    <n v="89700000"/>
    <n v="4405.2286000000004"/>
    <x v="7"/>
    <n v="158"/>
    <n v="4"/>
    <n v="2014"/>
    <n v="1"/>
    <s v="Glen Allen"/>
  </r>
  <r>
    <n v="66"/>
    <x v="65"/>
    <x v="9"/>
    <x v="9"/>
    <n v="10700000"/>
    <n v="4401.8690999999999"/>
    <x v="15"/>
    <n v="40"/>
    <n v="5"/>
    <n v="2015"/>
    <n v="1"/>
    <s v="Oakland"/>
  </r>
  <r>
    <n v="67"/>
    <x v="66"/>
    <x v="7"/>
    <x v="7"/>
    <n v="12800000"/>
    <n v="4345.7790000000005"/>
    <x v="11"/>
    <n v="64"/>
    <n v="1"/>
    <n v="2007"/>
    <n v="2"/>
    <s v="Arlington"/>
  </r>
  <r>
    <n v="68"/>
    <x v="67"/>
    <x v="19"/>
    <x v="19"/>
    <n v="9000000"/>
    <n v="4322.5573000000004"/>
    <x v="9"/>
    <n v="63"/>
    <n v="31"/>
    <n v="2013"/>
    <n v="1"/>
    <s v="Madison"/>
  </r>
  <r>
    <n v="69"/>
    <x v="68"/>
    <x v="9"/>
    <x v="9"/>
    <n v="146300000"/>
    <n v="4308.7443999999996"/>
    <x v="5"/>
    <n v="380"/>
    <n v="110"/>
    <n v="2012"/>
    <n v="1"/>
    <s v="Pleasanton"/>
  </r>
  <r>
    <n v="70"/>
    <x v="69"/>
    <x v="9"/>
    <x v="9"/>
    <n v="14300000"/>
    <n v="4283.2753000000002"/>
    <x v="2"/>
    <n v="7"/>
    <n v="5"/>
    <n v="2014"/>
    <n v="1"/>
    <s v="Venice Beach"/>
  </r>
  <r>
    <n v="71"/>
    <x v="70"/>
    <x v="13"/>
    <x v="13"/>
    <n v="6200000"/>
    <n v="4281.4016000000001"/>
    <x v="10"/>
    <n v="13"/>
    <n v="7"/>
    <n v="2014"/>
    <n v="1"/>
    <s v="Atlanta"/>
  </r>
  <r>
    <n v="72"/>
    <x v="71"/>
    <x v="2"/>
    <x v="2"/>
    <n v="4700000"/>
    <n v="4279.7745999999997"/>
    <x v="3"/>
    <n v="30"/>
    <n v="3"/>
    <n v="2015"/>
    <n v="1"/>
    <s v="Austin"/>
  </r>
  <r>
    <n v="73"/>
    <x v="72"/>
    <x v="18"/>
    <x v="18"/>
    <n v="20900000"/>
    <n v="4266.8158000000003"/>
    <x v="9"/>
    <n v="258"/>
    <n v="28"/>
    <n v="2013"/>
    <n v="1"/>
    <s v="Raleigh"/>
  </r>
  <r>
    <n v="74"/>
    <x v="73"/>
    <x v="6"/>
    <x v="6"/>
    <n v="4600000"/>
    <n v="4246.7510000000002"/>
    <x v="9"/>
    <n v="39"/>
    <n v="1"/>
    <n v="2011"/>
    <n v="3"/>
    <s v="Plainsboro"/>
  </r>
  <r>
    <n v="75"/>
    <x v="74"/>
    <x v="5"/>
    <x v="5"/>
    <n v="6700000"/>
    <n v="4233.6743999999999"/>
    <x v="21"/>
    <n v="36"/>
    <n v="2"/>
    <n v="2012"/>
    <n v="1"/>
    <s v="Miami"/>
  </r>
  <r>
    <n v="76"/>
    <x v="75"/>
    <x v="25"/>
    <x v="25"/>
    <n v="10000000"/>
    <n v="4207.8615"/>
    <x v="5"/>
    <n v="35"/>
    <n v="2"/>
    <n v="2014"/>
    <n v="1"/>
    <s v="Portland"/>
  </r>
  <r>
    <n v="77"/>
    <x v="76"/>
    <x v="4"/>
    <x v="4"/>
    <n v="8199999.9999999991"/>
    <n v="4138.1126000000004"/>
    <x v="1"/>
    <n v="78"/>
    <n v="11"/>
    <n v="2015"/>
    <n v="1"/>
    <s v="Milton"/>
  </r>
  <r>
    <n v="78"/>
    <x v="77"/>
    <x v="21"/>
    <x v="21"/>
    <n v="4300000"/>
    <n v="4090.7424000000001"/>
    <x v="11"/>
    <n v="14"/>
    <n v="1"/>
    <n v="2000"/>
    <n v="1"/>
    <s v="Bethesda"/>
  </r>
  <r>
    <n v="79"/>
    <x v="78"/>
    <x v="20"/>
    <x v="20"/>
    <n v="7200000"/>
    <n v="4089.6556999999998"/>
    <x v="15"/>
    <n v="40"/>
    <n v="6"/>
    <n v="2002"/>
    <n v="1"/>
    <s v="Flint"/>
  </r>
  <r>
    <n v="80"/>
    <x v="79"/>
    <x v="16"/>
    <x v="16"/>
    <n v="4700000"/>
    <n v="4088.0160000000001"/>
    <x v="3"/>
    <n v="12"/>
    <n v="2"/>
    <n v="2015"/>
    <n v="1"/>
    <s v="Orem"/>
  </r>
  <r>
    <n v="81"/>
    <x v="80"/>
    <x v="21"/>
    <x v="21"/>
    <n v="16300000"/>
    <n v="4035.1824999999999"/>
    <x v="5"/>
    <n v="38"/>
    <n v="8"/>
    <n v="2014"/>
    <n v="1"/>
    <s v="Towson"/>
  </r>
  <r>
    <n v="82"/>
    <x v="81"/>
    <x v="26"/>
    <x v="26"/>
    <n v="54400000"/>
    <n v="3839.8420000000001"/>
    <x v="1"/>
    <n v="50"/>
    <n v="4"/>
    <n v="2015"/>
    <n v="1"/>
    <s v="Overland Park"/>
  </r>
  <r>
    <n v="83"/>
    <x v="82"/>
    <x v="2"/>
    <x v="2"/>
    <n v="5100000"/>
    <n v="3778.5391"/>
    <x v="9"/>
    <n v="50"/>
    <n v="15"/>
    <n v="2012"/>
    <n v="2"/>
    <s v="Frisco"/>
  </r>
  <r>
    <n v="83"/>
    <x v="83"/>
    <x v="9"/>
    <x v="9"/>
    <n v="25800000"/>
    <n v="3775.1386000000002"/>
    <x v="15"/>
    <n v="25"/>
    <n v="3"/>
    <n v="2013"/>
    <n v="1"/>
    <s v="Hayward"/>
  </r>
  <r>
    <n v="84"/>
    <x v="84"/>
    <x v="16"/>
    <x v="16"/>
    <n v="9000000"/>
    <n v="3727.5346"/>
    <x v="0"/>
    <n v="13"/>
    <n v="10"/>
    <n v="2014"/>
    <n v="2"/>
    <s v="Provo"/>
  </r>
  <r>
    <n v="85"/>
    <x v="85"/>
    <x v="0"/>
    <x v="0"/>
    <n v="9000000"/>
    <n v="3692.3510000000001"/>
    <x v="7"/>
    <n v="19"/>
    <n v="3"/>
    <n v="2015"/>
    <n v="1"/>
    <s v="Phoenix"/>
  </r>
  <r>
    <n v="86"/>
    <x v="86"/>
    <x v="2"/>
    <x v="2"/>
    <n v="4500000"/>
    <n v="3683.6824000000001"/>
    <x v="23"/>
    <n v="463"/>
    <n v="22"/>
    <n v="2015"/>
    <n v="1"/>
    <s v="Austin"/>
  </r>
  <r>
    <n v="87"/>
    <x v="87"/>
    <x v="9"/>
    <x v="9"/>
    <n v="104100000"/>
    <n v="3665.0612000000001"/>
    <x v="3"/>
    <n v="1200"/>
    <n v="30"/>
    <n v="2012"/>
    <n v="2"/>
    <s v="San Francisco"/>
  </r>
  <r>
    <n v="88"/>
    <x v="88"/>
    <x v="9"/>
    <x v="9"/>
    <n v="3900000"/>
    <n v="3623.0563000000002"/>
    <x v="18"/>
    <n v="25"/>
    <n v="3"/>
    <n v="2015"/>
    <n v="1"/>
    <s v="San Juan Capistrano"/>
  </r>
  <r>
    <n v="89"/>
    <x v="89"/>
    <x v="9"/>
    <x v="9"/>
    <n v="10400000"/>
    <n v="3534.7662999999998"/>
    <x v="16"/>
    <n v="178"/>
    <n v="11"/>
    <n v="2015"/>
    <n v="2"/>
    <s v="San Jose"/>
  </r>
  <r>
    <n v="90"/>
    <x v="90"/>
    <x v="27"/>
    <x v="27"/>
    <n v="14400000"/>
    <n v="3531.5913"/>
    <x v="20"/>
    <n v="49"/>
    <n v="4"/>
    <n v="2013"/>
    <n v="2"/>
    <s v="Chicago"/>
  </r>
  <r>
    <n v="91"/>
    <x v="91"/>
    <x v="7"/>
    <x v="7"/>
    <n v="6400000"/>
    <n v="3469.3888999999999"/>
    <x v="11"/>
    <n v="35"/>
    <n v="5"/>
    <n v="2012"/>
    <n v="2"/>
    <s v="Arlington"/>
  </r>
  <r>
    <n v="92"/>
    <x v="92"/>
    <x v="14"/>
    <x v="14"/>
    <n v="4900000"/>
    <n v="3417.6307999999999"/>
    <x v="5"/>
    <n v="19"/>
    <n v="1"/>
    <n v="2014"/>
    <n v="1"/>
    <s v="LOUISVILLE"/>
  </r>
  <r>
    <n v="93"/>
    <x v="93"/>
    <x v="20"/>
    <x v="20"/>
    <n v="6600000"/>
    <n v="3399.5282000000002"/>
    <x v="4"/>
    <n v="25"/>
    <n v="3"/>
    <n v="2013"/>
    <n v="2"/>
    <s v="Hudsonville"/>
  </r>
  <r>
    <n v="94"/>
    <x v="94"/>
    <x v="12"/>
    <x v="12"/>
    <n v="7300000"/>
    <n v="3387.6552000000001"/>
    <x v="6"/>
    <n v="65"/>
    <n v="7"/>
    <n v="2014"/>
    <n v="1"/>
    <s v="White Plains"/>
  </r>
  <r>
    <n v="95"/>
    <x v="95"/>
    <x v="9"/>
    <x v="9"/>
    <n v="7400000"/>
    <n v="3371.0279999999998"/>
    <x v="0"/>
    <n v="85"/>
    <n v="1"/>
    <n v="2014"/>
    <n v="1"/>
    <s v="Woodland Hills"/>
  </r>
  <r>
    <n v="96"/>
    <x v="96"/>
    <x v="9"/>
    <x v="9"/>
    <n v="15300000"/>
    <n v="3357.7037999999998"/>
    <x v="5"/>
    <n v="16"/>
    <n v="8"/>
    <n v="2011"/>
    <n v="1"/>
    <s v="San Diego"/>
  </r>
  <r>
    <n v="97"/>
    <x v="97"/>
    <x v="12"/>
    <x v="12"/>
    <n v="13700000"/>
    <n v="3350.0091000000002"/>
    <x v="7"/>
    <n v="54"/>
    <n v="10"/>
    <n v="2014"/>
    <n v="1"/>
    <s v="New York"/>
  </r>
  <r>
    <n v="98"/>
    <x v="98"/>
    <x v="8"/>
    <x v="8"/>
    <n v="4800000"/>
    <n v="3339.6237000000001"/>
    <x v="1"/>
    <n v="35"/>
    <n v="1"/>
    <n v="2014"/>
    <n v="1"/>
    <s v="Columbus"/>
  </r>
  <r>
    <n v="99"/>
    <x v="99"/>
    <x v="27"/>
    <x v="27"/>
    <n v="34200000"/>
    <n v="3325.7138"/>
    <x v="1"/>
    <n v="450"/>
    <n v="25"/>
    <n v="2014"/>
    <n v="1"/>
    <s v="Chicago"/>
  </r>
  <r>
    <n v="100"/>
    <x v="100"/>
    <x v="18"/>
    <x v="18"/>
    <n v="102900000"/>
    <n v="3307.1657"/>
    <x v="15"/>
    <n v="585"/>
    <n v="15"/>
    <n v="2015"/>
    <n v="2"/>
    <s v="Mooresville"/>
  </r>
  <r>
    <n v="101"/>
    <x v="101"/>
    <x v="5"/>
    <x v="5"/>
    <n v="13900000"/>
    <n v="3279.2231000000002"/>
    <x v="7"/>
    <n v="50"/>
    <n v="18"/>
    <n v="2014"/>
    <n v="1"/>
    <s v="Boca Raton"/>
  </r>
  <r>
    <n v="102"/>
    <x v="102"/>
    <x v="6"/>
    <x v="6"/>
    <n v="9000000"/>
    <n v="3244.549"/>
    <x v="9"/>
    <n v="86"/>
    <n v="4"/>
    <n v="2015"/>
    <n v="1"/>
    <s v="Fort Lee"/>
  </r>
  <r>
    <n v="103"/>
    <x v="103"/>
    <x v="7"/>
    <x v="7"/>
    <n v="33000000"/>
    <n v="3215.1140999999998"/>
    <x v="11"/>
    <n v="151"/>
    <n v="24"/>
    <n v="2014"/>
    <n v="1"/>
    <s v="Alexandria"/>
  </r>
  <r>
    <n v="104"/>
    <x v="104"/>
    <x v="2"/>
    <x v="2"/>
    <n v="14400000"/>
    <n v="3210.2557000000002"/>
    <x v="15"/>
    <n v="46"/>
    <n v="1"/>
    <n v="2011"/>
    <n v="1"/>
    <s v="Colleyville"/>
  </r>
  <r>
    <n v="105"/>
    <x v="105"/>
    <x v="22"/>
    <x v="22"/>
    <n v="11100000"/>
    <n v="3205.607"/>
    <x v="9"/>
    <n v="180"/>
    <n v="12"/>
    <n v="2014"/>
    <n v="2"/>
    <s v="Minneapolis"/>
  </r>
  <r>
    <n v="106"/>
    <x v="106"/>
    <x v="9"/>
    <x v="9"/>
    <n v="3500000"/>
    <n v="3201.1487999999999"/>
    <x v="23"/>
    <n v="18"/>
    <n v="3"/>
    <n v="2015"/>
    <n v="1"/>
    <s v="Santa Monica"/>
  </r>
  <r>
    <n v="108"/>
    <x v="107"/>
    <x v="13"/>
    <x v="13"/>
    <n v="7600000"/>
    <n v="3135.6529"/>
    <x v="9"/>
    <n v="50"/>
    <n v="8"/>
    <n v="2015"/>
    <n v="1"/>
    <s v="Atlanta"/>
  </r>
  <r>
    <n v="109"/>
    <x v="108"/>
    <x v="7"/>
    <x v="7"/>
    <n v="59300000"/>
    <n v="3134.4692"/>
    <x v="11"/>
    <n v="145"/>
    <n v="17"/>
    <n v="2008"/>
    <n v="3"/>
    <s v="Herndon"/>
  </r>
  <r>
    <n v="110"/>
    <x v="109"/>
    <x v="27"/>
    <x v="27"/>
    <n v="4700000"/>
    <n v="3099.3348000000001"/>
    <x v="4"/>
    <n v="10"/>
    <n v="2"/>
    <n v="2005"/>
    <n v="2"/>
    <s v="Columbia"/>
  </r>
  <r>
    <n v="111"/>
    <x v="110"/>
    <x v="5"/>
    <x v="5"/>
    <n v="7800000"/>
    <n v="3051.3321999999998"/>
    <x v="11"/>
    <n v="52"/>
    <n v="12"/>
    <n v="2002"/>
    <n v="1"/>
    <s v="PENSACOLA"/>
  </r>
  <r>
    <n v="112"/>
    <x v="111"/>
    <x v="9"/>
    <x v="9"/>
    <n v="3800000"/>
    <n v="3050.0025000000001"/>
    <x v="0"/>
    <n v="310"/>
    <n v="30"/>
    <n v="2015"/>
    <n v="1"/>
    <s v="Solana Beach"/>
  </r>
  <r>
    <n v="113"/>
    <x v="112"/>
    <x v="2"/>
    <x v="2"/>
    <n v="5100000"/>
    <n v="3031.4203000000002"/>
    <x v="5"/>
    <n v="15"/>
    <n v="2"/>
    <n v="2015"/>
    <n v="1"/>
    <s v="Austin"/>
  </r>
  <r>
    <n v="114"/>
    <x v="113"/>
    <x v="12"/>
    <x v="12"/>
    <n v="6400000"/>
    <n v="3026.3532"/>
    <x v="2"/>
    <n v="5"/>
    <n v="3"/>
    <n v="2010"/>
    <n v="1"/>
    <s v="New York"/>
  </r>
  <r>
    <n v="115"/>
    <x v="114"/>
    <x v="9"/>
    <x v="9"/>
    <n v="19000000"/>
    <n v="3023.1327999999999"/>
    <x v="9"/>
    <n v="191"/>
    <n v="46"/>
    <n v="2013"/>
    <n v="1"/>
    <s v="San Francisco"/>
  </r>
  <r>
    <n v="116"/>
    <x v="115"/>
    <x v="23"/>
    <x v="23"/>
    <n v="3300000"/>
    <n v="2994.2887999999998"/>
    <x v="15"/>
    <n v="40"/>
    <n v="1"/>
    <n v="2015"/>
    <n v="1"/>
    <s v="Birmingham"/>
  </r>
  <r>
    <n v="117"/>
    <x v="116"/>
    <x v="13"/>
    <x v="13"/>
    <n v="3100000"/>
    <n v="2957.3530000000001"/>
    <x v="24"/>
    <n v="30"/>
    <n v="3"/>
    <n v="2015"/>
    <n v="1"/>
    <s v="Atlanta"/>
  </r>
  <r>
    <n v="118"/>
    <x v="117"/>
    <x v="13"/>
    <x v="13"/>
    <n v="3700000"/>
    <n v="2938.5448999999999"/>
    <x v="1"/>
    <n v="15"/>
    <n v="1"/>
    <n v="2014"/>
    <n v="1"/>
    <s v="Atlanta"/>
  </r>
  <r>
    <n v="119"/>
    <x v="118"/>
    <x v="9"/>
    <x v="9"/>
    <n v="23600000"/>
    <n v="2911.1745999999998"/>
    <x v="20"/>
    <n v="740"/>
    <n v="5"/>
    <n v="2013"/>
    <n v="2"/>
    <s v="Santa Ana"/>
  </r>
  <r>
    <n v="120"/>
    <x v="119"/>
    <x v="20"/>
    <x v="20"/>
    <n v="25800000"/>
    <n v="2872.1059"/>
    <x v="1"/>
    <n v="37"/>
    <n v="12"/>
    <n v="2012"/>
    <n v="1"/>
    <s v="Grand Rapids"/>
  </r>
  <r>
    <n v="121"/>
    <x v="120"/>
    <x v="13"/>
    <x v="13"/>
    <n v="12300000"/>
    <n v="2861.2368999999999"/>
    <x v="7"/>
    <n v="66"/>
    <n v="12"/>
    <n v="2012"/>
    <n v="1"/>
    <s v="Atlanta"/>
  </r>
  <r>
    <n v="122"/>
    <x v="121"/>
    <x v="28"/>
    <x v="28"/>
    <n v="6600000"/>
    <n v="2812.6795999999999"/>
    <x v="23"/>
    <n v="60"/>
    <n v="15"/>
    <n v="2014"/>
    <n v="1"/>
    <s v="Norwalk"/>
  </r>
  <r>
    <n v="123"/>
    <x v="122"/>
    <x v="0"/>
    <x v="0"/>
    <n v="79000000"/>
    <n v="2804.9504000000002"/>
    <x v="3"/>
    <n v="196"/>
    <n v="32"/>
    <n v="2014"/>
    <n v="1"/>
    <s v="Scottsdale"/>
  </r>
  <r>
    <n v="124"/>
    <x v="123"/>
    <x v="9"/>
    <x v="9"/>
    <n v="3500000"/>
    <n v="2795.4056999999998"/>
    <x v="1"/>
    <n v="19"/>
    <n v="7"/>
    <n v="2012"/>
    <n v="1"/>
    <s v="San Francisco"/>
  </r>
  <r>
    <n v="125"/>
    <x v="124"/>
    <x v="9"/>
    <x v="9"/>
    <n v="38800000"/>
    <n v="2781.5682000000002"/>
    <x v="5"/>
    <n v="375"/>
    <n v="75"/>
    <n v="2014"/>
    <n v="1"/>
    <s v="Santa Monica"/>
  </r>
  <r>
    <n v="126"/>
    <x v="125"/>
    <x v="5"/>
    <x v="5"/>
    <n v="4700000"/>
    <n v="2773.5884000000001"/>
    <x v="23"/>
    <n v="25"/>
    <n v="5"/>
    <n v="2015"/>
    <n v="1"/>
    <s v="Fort Lauderdale"/>
  </r>
  <r>
    <n v="127"/>
    <x v="126"/>
    <x v="8"/>
    <x v="8"/>
    <n v="3200000"/>
    <n v="2742.6432"/>
    <x v="5"/>
    <n v="8"/>
    <n v="1"/>
    <n v="2015"/>
    <n v="1"/>
    <s v="Cortland"/>
  </r>
  <r>
    <n v="128"/>
    <x v="127"/>
    <x v="5"/>
    <x v="5"/>
    <n v="3200000"/>
    <n v="2729.3507"/>
    <x v="23"/>
    <n v="20"/>
    <n v="4"/>
    <n v="2014"/>
    <n v="1"/>
    <s v="Clearwater"/>
  </r>
  <r>
    <n v="129"/>
    <x v="128"/>
    <x v="7"/>
    <x v="7"/>
    <n v="30000000"/>
    <n v="2728.9886000000001"/>
    <x v="6"/>
    <n v="125"/>
    <n v="8"/>
    <n v="2015"/>
    <n v="1"/>
    <s v="Tysons Corner"/>
  </r>
  <r>
    <n v="130"/>
    <x v="129"/>
    <x v="27"/>
    <x v="27"/>
    <n v="3100000"/>
    <n v="2704.9665"/>
    <x v="13"/>
    <n v="5"/>
    <n v="1"/>
    <n v="2015"/>
    <n v="1"/>
    <s v="Chicago"/>
  </r>
  <r>
    <n v="131"/>
    <x v="130"/>
    <x v="13"/>
    <x v="13"/>
    <n v="6700000"/>
    <n v="2696.6318999999999"/>
    <x v="23"/>
    <n v="98"/>
    <n v="12"/>
    <n v="2013"/>
    <n v="1"/>
    <s v="Atlanta"/>
  </r>
  <r>
    <n v="132"/>
    <x v="131"/>
    <x v="0"/>
    <x v="0"/>
    <n v="84800000"/>
    <n v="2694.3301999999999"/>
    <x v="5"/>
    <n v="941"/>
    <n v="51"/>
    <n v="2014"/>
    <n v="1"/>
    <s v="scottsdale"/>
  </r>
  <r>
    <n v="133"/>
    <x v="132"/>
    <x v="12"/>
    <x v="12"/>
    <n v="12400000"/>
    <n v="2689.6147999999998"/>
    <x v="3"/>
    <n v="11"/>
    <n v="2"/>
    <n v="2015"/>
    <n v="1"/>
    <s v="Hicksville"/>
  </r>
  <r>
    <n v="134"/>
    <x v="133"/>
    <x v="9"/>
    <x v="9"/>
    <n v="38800000"/>
    <n v="2678.5391"/>
    <x v="18"/>
    <n v="274"/>
    <n v="54"/>
    <n v="2013"/>
    <n v="2"/>
    <s v="San Mateo"/>
  </r>
  <r>
    <n v="135"/>
    <x v="134"/>
    <x v="4"/>
    <x v="4"/>
    <n v="4000000"/>
    <n v="2668.0059000000001"/>
    <x v="9"/>
    <n v="21"/>
    <n v="5"/>
    <n v="2015"/>
    <n v="1"/>
    <s v="West Chester"/>
  </r>
  <r>
    <n v="136"/>
    <x v="135"/>
    <x v="2"/>
    <x v="2"/>
    <n v="5400000"/>
    <n v="2657.4126999999999"/>
    <x v="5"/>
    <n v="6"/>
    <n v="2"/>
    <n v="2015"/>
    <n v="1"/>
    <s v="San Antonio"/>
  </r>
  <r>
    <n v="137"/>
    <x v="136"/>
    <x v="12"/>
    <x v="12"/>
    <n v="6500000"/>
    <n v="2635.922"/>
    <x v="3"/>
    <n v="6"/>
    <n v="2"/>
    <n v="2014"/>
    <n v="1"/>
    <s v="New York"/>
  </r>
  <r>
    <n v="138"/>
    <x v="137"/>
    <x v="12"/>
    <x v="12"/>
    <n v="9800000"/>
    <n v="2633.9524999999999"/>
    <x v="16"/>
    <n v="176"/>
    <n v="10"/>
    <n v="2014"/>
    <n v="1"/>
    <s v="New York"/>
  </r>
  <r>
    <n v="139"/>
    <x v="138"/>
    <x v="6"/>
    <x v="6"/>
    <n v="20400000"/>
    <n v="2623.9495000000002"/>
    <x v="8"/>
    <n v="10"/>
    <n v="2"/>
    <n v="2013"/>
    <n v="2"/>
    <s v="Marlton"/>
  </r>
  <r>
    <n v="140"/>
    <x v="139"/>
    <x v="12"/>
    <x v="12"/>
    <n v="3100000"/>
    <n v="2620.7597999999998"/>
    <x v="3"/>
    <n v="4"/>
    <n v="2"/>
    <n v="2015"/>
    <n v="1"/>
    <s v="New York"/>
  </r>
  <r>
    <n v="141"/>
    <x v="140"/>
    <x v="2"/>
    <x v="2"/>
    <n v="7100000"/>
    <n v="2618.0194999999999"/>
    <x v="11"/>
    <n v="12"/>
    <n v="3"/>
    <n v="2014"/>
    <n v="1"/>
    <s v="San Antonio"/>
  </r>
  <r>
    <n v="142"/>
    <x v="141"/>
    <x v="9"/>
    <x v="9"/>
    <n v="101100000"/>
    <n v="2603.3870999999999"/>
    <x v="10"/>
    <n v="358"/>
    <n v="84"/>
    <n v="2013"/>
    <n v="2"/>
    <s v="Temecula"/>
  </r>
  <r>
    <n v="143"/>
    <x v="142"/>
    <x v="7"/>
    <x v="7"/>
    <n v="25100000"/>
    <n v="2596.3186000000001"/>
    <x v="11"/>
    <n v="145"/>
    <n v="1"/>
    <n v="2010"/>
    <n v="2"/>
    <s v="Vienna"/>
  </r>
  <r>
    <n v="144"/>
    <x v="143"/>
    <x v="1"/>
    <x v="1"/>
    <n v="4700000"/>
    <n v="2578.6271999999999"/>
    <x v="23"/>
    <n v="4"/>
    <n v="2"/>
    <n v="2014"/>
    <n v="1"/>
    <s v="Knoxville"/>
  </r>
  <r>
    <n v="145"/>
    <x v="144"/>
    <x v="21"/>
    <x v="21"/>
    <n v="3500000"/>
    <n v="2564.3741"/>
    <x v="15"/>
    <n v="16"/>
    <n v="2"/>
    <n v="2013"/>
    <n v="1"/>
    <s v="Silver Spring"/>
  </r>
  <r>
    <n v="146"/>
    <x v="145"/>
    <x v="7"/>
    <x v="7"/>
    <n v="5400000"/>
    <n v="2555.6570000000002"/>
    <x v="11"/>
    <n v="57"/>
    <n v="1"/>
    <n v="2010"/>
    <n v="2"/>
    <s v="Fairfax"/>
  </r>
  <r>
    <n v="147"/>
    <x v="146"/>
    <x v="26"/>
    <x v="26"/>
    <n v="9200000"/>
    <n v="2540.4144999999999"/>
    <x v="1"/>
    <n v="18"/>
    <n v="1"/>
    <n v="1999"/>
    <n v="1"/>
    <s v="Overland Park"/>
  </r>
  <r>
    <n v="148"/>
    <x v="147"/>
    <x v="29"/>
    <x v="29"/>
    <n v="18500000"/>
    <n v="2525.5636"/>
    <x v="6"/>
    <n v="36"/>
    <n v="3"/>
    <n v="2012"/>
    <n v="2"/>
    <s v="Las Vegas"/>
  </r>
  <r>
    <n v="149"/>
    <x v="148"/>
    <x v="27"/>
    <x v="27"/>
    <n v="2800000"/>
    <n v="2514.3020999999999"/>
    <x v="0"/>
    <n v="12"/>
    <n v="2"/>
    <n v="2015"/>
    <n v="1"/>
    <s v="Chicago"/>
  </r>
  <r>
    <n v="150"/>
    <x v="149"/>
    <x v="30"/>
    <x v="30"/>
    <n v="5500000"/>
    <n v="2506.9261999999999"/>
    <x v="7"/>
    <n v="55"/>
    <n v="1"/>
    <n v="2006"/>
    <n v="2"/>
    <s v="Fargo"/>
  </r>
  <r>
    <n v="151"/>
    <x v="150"/>
    <x v="9"/>
    <x v="9"/>
    <n v="4400000"/>
    <n v="2482.3452000000002"/>
    <x v="9"/>
    <n v="55"/>
    <n v="6"/>
    <n v="2014"/>
    <n v="1"/>
    <s v="Sausalito"/>
  </r>
  <r>
    <n v="152"/>
    <x v="151"/>
    <x v="5"/>
    <x v="5"/>
    <n v="21800000"/>
    <n v="2482.1293000000001"/>
    <x v="15"/>
    <n v="71"/>
    <n v="21"/>
    <n v="2015"/>
    <n v="1"/>
    <s v="Florida"/>
  </r>
  <r>
    <n v="153"/>
    <x v="152"/>
    <x v="31"/>
    <x v="31"/>
    <n v="4400000"/>
    <n v="2474.5437000000002"/>
    <x v="9"/>
    <n v="48"/>
    <n v="20"/>
    <n v="2011"/>
    <n v="1"/>
    <s v="Nashua"/>
  </r>
  <r>
    <n v="154"/>
    <x v="153"/>
    <x v="5"/>
    <x v="5"/>
    <n v="28400000"/>
    <n v="2470.116"/>
    <x v="1"/>
    <n v="350"/>
    <n v="30"/>
    <n v="2014"/>
    <n v="2"/>
    <s v="Deerfield Beach"/>
  </r>
  <r>
    <n v="155"/>
    <x v="154"/>
    <x v="9"/>
    <x v="9"/>
    <n v="4000000"/>
    <n v="2465.5724"/>
    <x v="0"/>
    <n v="5"/>
    <n v="1"/>
    <n v="2013"/>
    <n v="1"/>
    <s v="Lake Balboa"/>
  </r>
  <r>
    <n v="156"/>
    <x v="155"/>
    <x v="24"/>
    <x v="24"/>
    <n v="13600000"/>
    <n v="2417.9715000000001"/>
    <x v="9"/>
    <n v="58"/>
    <n v="5"/>
    <n v="2015"/>
    <n v="1"/>
    <s v="Boston"/>
  </r>
  <r>
    <n v="157"/>
    <x v="156"/>
    <x v="9"/>
    <x v="9"/>
    <n v="3000000"/>
    <n v="2415.7359000000001"/>
    <x v="11"/>
    <n v="42"/>
    <n v="5"/>
    <n v="2005"/>
    <n v="2"/>
    <s v="Pasadena"/>
  </r>
  <r>
    <n v="158"/>
    <x v="157"/>
    <x v="12"/>
    <x v="12"/>
    <n v="20600000"/>
    <n v="2412.1028999999999"/>
    <x v="20"/>
    <n v="545"/>
    <n v="166"/>
    <n v="2009"/>
    <n v="8"/>
    <s v="Amherst"/>
  </r>
  <r>
    <n v="159"/>
    <x v="158"/>
    <x v="18"/>
    <x v="18"/>
    <n v="3000000"/>
    <n v="2391.8562999999999"/>
    <x v="3"/>
    <n v="15"/>
    <n v="3"/>
    <n v="2014"/>
    <n v="1"/>
    <s v="Hillsborough"/>
  </r>
  <r>
    <n v="160"/>
    <x v="159"/>
    <x v="19"/>
    <x v="19"/>
    <n v="4900000"/>
    <n v="2383.9486000000002"/>
    <x v="13"/>
    <n v="36"/>
    <n v="5"/>
    <n v="2014"/>
    <n v="1"/>
    <s v="Waunakee"/>
  </r>
  <r>
    <n v="161"/>
    <x v="160"/>
    <x v="5"/>
    <x v="5"/>
    <n v="72300000"/>
    <n v="2370.3591000000001"/>
    <x v="18"/>
    <n v="650"/>
    <n v="200"/>
    <n v="2010"/>
    <n v="4"/>
    <s v="Clearwater"/>
  </r>
  <r>
    <n v="162"/>
    <x v="161"/>
    <x v="2"/>
    <x v="2"/>
    <n v="13300000"/>
    <n v="2358.2483000000002"/>
    <x v="10"/>
    <n v="8"/>
    <n v="2"/>
    <n v="2015"/>
    <n v="1"/>
    <s v="Austin"/>
  </r>
  <r>
    <n v="163"/>
    <x v="162"/>
    <x v="5"/>
    <x v="5"/>
    <n v="2500000"/>
    <n v="2356.7775999999999"/>
    <x v="9"/>
    <n v="60"/>
    <n v="25"/>
    <n v="2013"/>
    <n v="1"/>
    <s v="Tampa"/>
  </r>
  <r>
    <n v="164"/>
    <x v="163"/>
    <x v="21"/>
    <x v="21"/>
    <n v="15900000"/>
    <n v="2354.4234999999999"/>
    <x v="19"/>
    <n v="100"/>
    <n v="6"/>
    <n v="2011"/>
    <n v="1"/>
    <s v="Gaithersburg"/>
  </r>
  <r>
    <n v="165"/>
    <x v="164"/>
    <x v="12"/>
    <x v="12"/>
    <n v="100800000"/>
    <n v="2345.0086000000001"/>
    <x v="3"/>
    <n v="63"/>
    <n v="11"/>
    <n v="2013"/>
    <n v="2"/>
    <s v="New York"/>
  </r>
  <r>
    <n v="166"/>
    <x v="165"/>
    <x v="20"/>
    <x v="20"/>
    <n v="3000000"/>
    <n v="2339.9301999999998"/>
    <x v="3"/>
    <n v="12"/>
    <n v="3"/>
    <n v="2013"/>
    <n v="1"/>
    <s v="Grand Rapids"/>
  </r>
  <r>
    <n v="167"/>
    <x v="166"/>
    <x v="5"/>
    <x v="5"/>
    <n v="15500000"/>
    <n v="2313.8368999999998"/>
    <x v="5"/>
    <n v="40"/>
    <n v="8"/>
    <n v="2013"/>
    <n v="1"/>
    <s v="Temple Terrace"/>
  </r>
  <r>
    <n v="168"/>
    <x v="167"/>
    <x v="21"/>
    <x v="21"/>
    <n v="53100000"/>
    <n v="2305.0499"/>
    <x v="11"/>
    <n v="199"/>
    <n v="2"/>
    <n v="2014"/>
    <n v="1"/>
    <s v="Silver Spring"/>
  </r>
  <r>
    <n v="169"/>
    <x v="168"/>
    <x v="2"/>
    <x v="2"/>
    <n v="3100000"/>
    <n v="2276.0888"/>
    <x v="9"/>
    <n v="36"/>
    <n v="7"/>
    <n v="2014"/>
    <n v="1"/>
    <s v="Frisco"/>
  </r>
  <r>
    <n v="170"/>
    <x v="169"/>
    <x v="32"/>
    <x v="32"/>
    <n v="6400000"/>
    <n v="2274.4095000000002"/>
    <x v="0"/>
    <n v="90"/>
    <n v="6"/>
    <n v="2014"/>
    <n v="2"/>
    <s v="St. Louis"/>
  </r>
  <r>
    <n v="171"/>
    <x v="170"/>
    <x v="24"/>
    <x v="24"/>
    <n v="3000000"/>
    <n v="2262.8640999999998"/>
    <x v="0"/>
    <n v="30"/>
    <n v="3"/>
    <n v="2012"/>
    <n v="1"/>
    <s v="Boston"/>
  </r>
  <r>
    <n v="172"/>
    <x v="171"/>
    <x v="33"/>
    <x v="33"/>
    <n v="5700000"/>
    <n v="2248.4713000000002"/>
    <x v="3"/>
    <n v="8"/>
    <n v="3"/>
    <n v="2015"/>
    <n v="1"/>
    <s v="Noblesville"/>
  </r>
  <r>
    <n v="173"/>
    <x v="172"/>
    <x v="2"/>
    <x v="2"/>
    <n v="17400000"/>
    <n v="2240.0028000000002"/>
    <x v="0"/>
    <n v="48"/>
    <n v="2"/>
    <n v="2014"/>
    <n v="2"/>
    <s v="Irving"/>
  </r>
  <r>
    <n v="174"/>
    <x v="173"/>
    <x v="27"/>
    <x v="27"/>
    <n v="2600000"/>
    <n v="2235.9439000000002"/>
    <x v="23"/>
    <n v="30"/>
    <n v="8"/>
    <n v="2015"/>
    <n v="1"/>
    <s v="Chicago"/>
  </r>
  <r>
    <n v="175"/>
    <x v="174"/>
    <x v="0"/>
    <x v="0"/>
    <n v="14200000"/>
    <n v="2233.8330999999998"/>
    <x v="9"/>
    <n v="105"/>
    <n v="25"/>
    <n v="2011"/>
    <n v="3"/>
    <s v="Chandler,"/>
  </r>
  <r>
    <n v="176"/>
    <x v="175"/>
    <x v="12"/>
    <x v="12"/>
    <n v="12000000"/>
    <n v="2230.9276"/>
    <x v="21"/>
    <n v="80"/>
    <n v="40"/>
    <n v="2015"/>
    <n v="1"/>
    <s v="Brooklyn"/>
  </r>
  <r>
    <n v="177"/>
    <x v="176"/>
    <x v="12"/>
    <x v="12"/>
    <n v="3300000"/>
    <n v="2205.1824000000001"/>
    <x v="0"/>
    <n v="9"/>
    <n v="2"/>
    <n v="2015"/>
    <n v="1"/>
    <s v="Brooklyn"/>
  </r>
  <r>
    <n v="178"/>
    <x v="177"/>
    <x v="9"/>
    <x v="9"/>
    <n v="7000000"/>
    <n v="2171.9647"/>
    <x v="3"/>
    <n v="18"/>
    <n v="5"/>
    <n v="2011"/>
    <n v="1"/>
    <s v="Poway"/>
  </r>
  <r>
    <n v="179"/>
    <x v="178"/>
    <x v="5"/>
    <x v="5"/>
    <n v="9900000"/>
    <n v="2155.4069"/>
    <x v="10"/>
    <n v="50"/>
    <n v="10"/>
    <n v="2011"/>
    <n v="1"/>
    <s v="Tampa"/>
  </r>
  <r>
    <n v="180"/>
    <x v="179"/>
    <x v="27"/>
    <x v="27"/>
    <n v="10300000"/>
    <n v="2142.2694999999999"/>
    <x v="13"/>
    <n v="13"/>
    <n v="3"/>
    <n v="2014"/>
    <n v="1"/>
    <s v="Chicago"/>
  </r>
  <r>
    <n v="181"/>
    <x v="180"/>
    <x v="15"/>
    <x v="15"/>
    <n v="3100000"/>
    <n v="2142.0754000000002"/>
    <x v="0"/>
    <n v="41"/>
    <n v="1"/>
    <n v="2007"/>
    <n v="1"/>
    <s v="Boise"/>
  </r>
  <r>
    <n v="182"/>
    <x v="181"/>
    <x v="1"/>
    <x v="1"/>
    <n v="4600000"/>
    <n v="2138.2033999999999"/>
    <x v="19"/>
    <n v="55"/>
    <n v="20"/>
    <n v="2014"/>
    <n v="1"/>
    <s v="Germantown"/>
  </r>
  <r>
    <n v="183"/>
    <x v="182"/>
    <x v="11"/>
    <x v="11"/>
    <n v="12800000"/>
    <n v="2122.6612"/>
    <x v="9"/>
    <n v="100"/>
    <n v="15"/>
    <n v="2004"/>
    <n v="2"/>
    <s v="Redmond"/>
  </r>
  <r>
    <n v="184"/>
    <x v="183"/>
    <x v="13"/>
    <x v="13"/>
    <n v="2700000"/>
    <n v="2116.4110000000001"/>
    <x v="5"/>
    <n v="64"/>
    <n v="12"/>
    <n v="2015"/>
    <n v="1"/>
    <s v="Brookhaven"/>
  </r>
  <r>
    <n v="185"/>
    <x v="184"/>
    <x v="10"/>
    <x v="10"/>
    <n v="85800000"/>
    <n v="2112.1974"/>
    <x v="23"/>
    <n v="103"/>
    <n v="3"/>
    <n v="2014"/>
    <n v="2"/>
    <s v="Denver"/>
  </r>
  <r>
    <n v="186"/>
    <x v="185"/>
    <x v="7"/>
    <x v="7"/>
    <n v="5400000"/>
    <n v="2107.0365000000002"/>
    <x v="15"/>
    <n v="23"/>
    <n v="1"/>
    <n v="2015"/>
    <n v="1"/>
    <s v="Sterling"/>
  </r>
  <r>
    <n v="187"/>
    <x v="186"/>
    <x v="9"/>
    <x v="9"/>
    <n v="8199999.9999999991"/>
    <n v="2100.9602"/>
    <x v="2"/>
    <n v="15"/>
    <n v="1"/>
    <n v="2013"/>
    <n v="1"/>
    <s v="San Diego"/>
  </r>
  <r>
    <n v="188"/>
    <x v="187"/>
    <x v="13"/>
    <x v="13"/>
    <n v="6900000"/>
    <n v="2099.2096999999999"/>
    <x v="2"/>
    <n v="142"/>
    <n v="6"/>
    <n v="2015"/>
    <n v="1"/>
    <s v="Atlanta"/>
  </r>
  <r>
    <n v="189"/>
    <x v="188"/>
    <x v="30"/>
    <x v="30"/>
    <n v="7200000"/>
    <n v="2097.5284999999999"/>
    <x v="4"/>
    <n v="18"/>
    <n v="3"/>
    <n v="2013"/>
    <n v="2"/>
    <s v="Fargo"/>
  </r>
  <r>
    <n v="190"/>
    <x v="189"/>
    <x v="6"/>
    <x v="6"/>
    <n v="12700000"/>
    <n v="2095.6151"/>
    <x v="2"/>
    <n v="28"/>
    <n v="2"/>
    <n v="2014"/>
    <n v="1"/>
    <s v="Parsippany-Troy Hills"/>
  </r>
  <r>
    <n v="191"/>
    <x v="190"/>
    <x v="13"/>
    <x v="13"/>
    <n v="4099999.9999999995"/>
    <n v="2081.8944999999999"/>
    <x v="13"/>
    <n v="14"/>
    <n v="1"/>
    <n v="2015"/>
    <n v="1"/>
    <s v="Atlanta"/>
  </r>
  <r>
    <n v="192"/>
    <x v="191"/>
    <x v="7"/>
    <x v="7"/>
    <n v="24700000"/>
    <n v="2077.0156000000002"/>
    <x v="11"/>
    <n v="350"/>
    <n v="35"/>
    <n v="1995"/>
    <n v="4"/>
    <s v="Fairfax"/>
  </r>
  <r>
    <n v="193"/>
    <x v="192"/>
    <x v="21"/>
    <x v="21"/>
    <n v="4500000"/>
    <n v="2076.8838999999998"/>
    <x v="11"/>
    <n v="10"/>
    <n v="2"/>
    <n v="2009"/>
    <n v="1"/>
    <s v="Rockville"/>
  </r>
  <r>
    <n v="194"/>
    <x v="193"/>
    <x v="5"/>
    <x v="5"/>
    <n v="32900000"/>
    <n v="2068.4929000000002"/>
    <x v="1"/>
    <n v="45"/>
    <n v="4"/>
    <n v="2014"/>
    <n v="1"/>
    <s v="orlando"/>
  </r>
  <r>
    <n v="195"/>
    <x v="194"/>
    <x v="9"/>
    <x v="9"/>
    <n v="2200000"/>
    <n v="2047.1978999999999"/>
    <x v="10"/>
    <n v="10"/>
    <n v="2"/>
    <n v="2014"/>
    <n v="1"/>
    <s v="San Luis Obispo"/>
  </r>
  <r>
    <n v="196"/>
    <x v="195"/>
    <x v="9"/>
    <x v="9"/>
    <n v="3600000"/>
    <n v="2037.4483"/>
    <x v="12"/>
    <n v="62"/>
    <n v="5"/>
    <n v="2014"/>
    <n v="1"/>
    <s v="Irvine"/>
  </r>
  <r>
    <n v="197"/>
    <x v="196"/>
    <x v="21"/>
    <x v="21"/>
    <n v="20800000"/>
    <n v="2037.0893000000001"/>
    <x v="11"/>
    <n v="60"/>
    <n v="10"/>
    <n v="2012"/>
    <n v="3"/>
    <s v="Middle River"/>
  </r>
  <r>
    <n v="198"/>
    <x v="197"/>
    <x v="16"/>
    <x v="16"/>
    <n v="3600000"/>
    <n v="2029.6605999999999"/>
    <x v="9"/>
    <n v="18"/>
    <n v="4"/>
    <n v="2013"/>
    <n v="1"/>
    <s v="Orem"/>
  </r>
  <r>
    <n v="199"/>
    <x v="198"/>
    <x v="34"/>
    <x v="34"/>
    <n v="14300000"/>
    <n v="2026.9981"/>
    <x v="0"/>
    <n v="30"/>
    <n v="1"/>
    <n v="2015"/>
    <n v="1"/>
    <s v="Washington"/>
  </r>
  <r>
    <n v="200"/>
    <x v="199"/>
    <x v="9"/>
    <x v="9"/>
    <n v="4000000"/>
    <n v="2018.2299"/>
    <x v="9"/>
    <n v="23"/>
    <n v="8"/>
    <n v="2014"/>
    <n v="2"/>
    <s v="Walnut"/>
  </r>
  <r>
    <n v="201"/>
    <x v="200"/>
    <x v="32"/>
    <x v="32"/>
    <n v="138400000"/>
    <n v="2013.4739999999999"/>
    <x v="0"/>
    <n v="102"/>
    <n v="27"/>
    <n v="2005"/>
    <n v="1"/>
    <s v="Kansas City"/>
  </r>
  <r>
    <n v="202"/>
    <x v="201"/>
    <x v="27"/>
    <x v="27"/>
    <n v="40500000"/>
    <n v="2007.0455999999999"/>
    <x v="23"/>
    <n v="2330"/>
    <n v="220"/>
    <n v="2015"/>
    <n v="1"/>
    <s v="Berwyn"/>
  </r>
  <r>
    <n v="203"/>
    <x v="202"/>
    <x v="9"/>
    <x v="9"/>
    <n v="2300000"/>
    <n v="2004.3858"/>
    <x v="6"/>
    <n v="5"/>
    <n v="2"/>
    <n v="2013"/>
    <n v="1"/>
    <s v="North Hollywood"/>
  </r>
  <r>
    <n v="204"/>
    <x v="203"/>
    <x v="9"/>
    <x v="9"/>
    <n v="2200000"/>
    <n v="1996.5182"/>
    <x v="15"/>
    <n v="5"/>
    <n v="1"/>
    <n v="2014"/>
    <n v="1"/>
    <s v="Canoga Park"/>
  </r>
  <r>
    <n v="205"/>
    <x v="204"/>
    <x v="5"/>
    <x v="5"/>
    <n v="37500000"/>
    <n v="1987.4327000000001"/>
    <x v="3"/>
    <n v="25"/>
    <n v="3"/>
    <n v="2014"/>
    <n v="1"/>
    <s v="Orlando"/>
  </r>
  <r>
    <n v="206"/>
    <x v="205"/>
    <x v="5"/>
    <x v="5"/>
    <n v="5100000"/>
    <n v="1972.0256999999999"/>
    <x v="13"/>
    <n v="29"/>
    <n v="3"/>
    <n v="2011"/>
    <n v="2"/>
    <s v="SANFORD"/>
  </r>
  <r>
    <n v="207"/>
    <x v="206"/>
    <x v="35"/>
    <x v="35"/>
    <n v="113500000"/>
    <n v="1967.9181000000001"/>
    <x v="12"/>
    <n v="250"/>
    <n v="50"/>
    <n v="2013"/>
    <n v="2"/>
    <s v="Omaha"/>
  </r>
  <r>
    <n v="208"/>
    <x v="207"/>
    <x v="5"/>
    <x v="5"/>
    <n v="3900000"/>
    <n v="1963.2293"/>
    <x v="0"/>
    <n v="23"/>
    <n v="5"/>
    <n v="2014"/>
    <n v="1"/>
    <s v="Sarasota"/>
  </r>
  <r>
    <n v="209"/>
    <x v="208"/>
    <x v="1"/>
    <x v="1"/>
    <n v="22300000"/>
    <n v="1952.8258000000001"/>
    <x v="0"/>
    <n v="42"/>
    <n v="14"/>
    <n v="2011"/>
    <n v="1"/>
    <s v="Chattanooga"/>
  </r>
  <r>
    <n v="210"/>
    <x v="209"/>
    <x v="32"/>
    <x v="32"/>
    <n v="3600000"/>
    <n v="1944.0214000000001"/>
    <x v="15"/>
    <n v="28"/>
    <n v="4"/>
    <n v="2015"/>
    <n v="1"/>
    <s v="North Kansas City"/>
  </r>
  <r>
    <n v="211"/>
    <x v="210"/>
    <x v="36"/>
    <x v="36"/>
    <n v="4400000"/>
    <n v="1939.8376000000001"/>
    <x v="24"/>
    <n v="8"/>
    <n v="1"/>
    <n v="2015"/>
    <n v="1"/>
    <s v="Cheyenne"/>
  </r>
  <r>
    <n v="212"/>
    <x v="211"/>
    <x v="12"/>
    <x v="12"/>
    <n v="61100000"/>
    <n v="1938.0352"/>
    <x v="5"/>
    <n v="1246"/>
    <n v="105"/>
    <n v="2008"/>
    <n v="1"/>
    <s v="New York City"/>
  </r>
  <r>
    <n v="213"/>
    <x v="212"/>
    <x v="9"/>
    <x v="9"/>
    <n v="2700000"/>
    <n v="1924.2817"/>
    <x v="25"/>
    <n v="30"/>
    <n v="6"/>
    <n v="2009"/>
    <n v="2"/>
    <s v="Hayward"/>
  </r>
  <r>
    <n v="214"/>
    <x v="213"/>
    <x v="5"/>
    <x v="5"/>
    <n v="4099999.9999999995"/>
    <n v="1918.6756"/>
    <x v="23"/>
    <n v="14"/>
    <n v="2"/>
    <n v="2014"/>
    <n v="1"/>
    <s v="Miami"/>
  </r>
  <r>
    <n v="215"/>
    <x v="214"/>
    <x v="6"/>
    <x v="6"/>
    <n v="161800000"/>
    <n v="1917.0019"/>
    <x v="10"/>
    <n v="1160"/>
    <n v="40"/>
    <n v="2009"/>
    <n v="4"/>
    <s v="South Plainfield"/>
  </r>
  <r>
    <n v="216"/>
    <x v="215"/>
    <x v="34"/>
    <x v="34"/>
    <n v="31500000"/>
    <n v="1915.1007"/>
    <x v="9"/>
    <n v="54"/>
    <n v="21"/>
    <n v="2011"/>
    <n v="2"/>
    <s v="Washington"/>
  </r>
  <r>
    <n v="217"/>
    <x v="216"/>
    <x v="5"/>
    <x v="5"/>
    <n v="4500000"/>
    <n v="1914.7356"/>
    <x v="7"/>
    <n v="75"/>
    <n v="5"/>
    <n v="2014"/>
    <n v="1"/>
    <s v="Orlando"/>
  </r>
  <r>
    <n v="218"/>
    <x v="217"/>
    <x v="9"/>
    <x v="9"/>
    <n v="3500000"/>
    <n v="1905.462"/>
    <x v="20"/>
    <n v="8"/>
    <n v="3"/>
    <n v="2014"/>
    <n v="1"/>
    <s v="MURRIETA"/>
  </r>
  <r>
    <n v="219"/>
    <x v="218"/>
    <x v="9"/>
    <x v="9"/>
    <n v="18700000"/>
    <n v="1901.165"/>
    <x v="8"/>
    <n v="11"/>
    <n v="4"/>
    <n v="2000"/>
    <n v="1"/>
    <s v="SAN CLEMENTE"/>
  </r>
  <r>
    <n v="220"/>
    <x v="219"/>
    <x v="2"/>
    <x v="2"/>
    <n v="6100000"/>
    <n v="1882.7744"/>
    <x v="4"/>
    <n v="5"/>
    <n v="2"/>
    <n v="2013"/>
    <n v="1"/>
    <s v="san antonio"/>
  </r>
  <r>
    <n v="221"/>
    <x v="220"/>
    <x v="18"/>
    <x v="18"/>
    <n v="10000000"/>
    <n v="1882.0256999999999"/>
    <x v="9"/>
    <n v="90"/>
    <n v="2"/>
    <n v="2010"/>
    <n v="3"/>
    <s v="Wilmington"/>
  </r>
  <r>
    <n v="222"/>
    <x v="221"/>
    <x v="12"/>
    <x v="12"/>
    <n v="2700000"/>
    <n v="1877.5153"/>
    <x v="0"/>
    <n v="11"/>
    <n v="5"/>
    <n v="2015"/>
    <n v="1"/>
    <s v="New York"/>
  </r>
  <r>
    <n v="223"/>
    <x v="222"/>
    <x v="6"/>
    <x v="6"/>
    <n v="7700000"/>
    <n v="1851.6306"/>
    <x v="9"/>
    <n v="45"/>
    <n v="7"/>
    <n v="2015"/>
    <n v="1"/>
    <s v="Red Bank"/>
  </r>
  <r>
    <n v="224"/>
    <x v="223"/>
    <x v="9"/>
    <x v="9"/>
    <n v="4500000"/>
    <n v="1843.5572"/>
    <x v="2"/>
    <n v="15"/>
    <n v="3"/>
    <n v="2014"/>
    <n v="1"/>
    <s v="Oakland"/>
  </r>
  <r>
    <n v="225"/>
    <x v="224"/>
    <x v="12"/>
    <x v="12"/>
    <n v="8199999.9999999991"/>
    <n v="1838.3239000000001"/>
    <x v="10"/>
    <n v="25"/>
    <n v="7"/>
    <n v="2013"/>
    <n v="1"/>
    <s v="Suffern"/>
  </r>
  <r>
    <n v="226"/>
    <x v="225"/>
    <x v="7"/>
    <x v="7"/>
    <n v="6600000"/>
    <n v="1820.7809999999999"/>
    <x v="11"/>
    <n v="15"/>
    <n v="3"/>
    <n v="2012"/>
    <n v="2"/>
    <s v="Virginia Beach"/>
  </r>
  <r>
    <n v="227"/>
    <x v="226"/>
    <x v="5"/>
    <x v="5"/>
    <n v="10700000"/>
    <n v="1813.5417"/>
    <x v="5"/>
    <n v="4"/>
    <n v="2"/>
    <n v="2014"/>
    <n v="1"/>
    <s v="Orlando"/>
  </r>
  <r>
    <n v="228"/>
    <x v="227"/>
    <x v="13"/>
    <x v="13"/>
    <n v="7200000"/>
    <n v="1808.729"/>
    <x v="16"/>
    <n v="40"/>
    <n v="8"/>
    <n v="2014"/>
    <n v="2"/>
    <s v="Suwanee"/>
  </r>
  <r>
    <n v="229"/>
    <x v="228"/>
    <x v="32"/>
    <x v="32"/>
    <n v="2600000"/>
    <n v="1802.2541000000001"/>
    <x v="15"/>
    <n v="5"/>
    <n v="1"/>
    <n v="2012"/>
    <n v="1"/>
    <s v="Cleveland"/>
  </r>
  <r>
    <n v="230"/>
    <x v="229"/>
    <x v="21"/>
    <x v="21"/>
    <n v="2900000"/>
    <n v="1797.1431"/>
    <x v="5"/>
    <n v="33"/>
    <n v="3"/>
    <n v="2015"/>
    <n v="1"/>
    <s v="Gaithersburg"/>
  </r>
  <r>
    <n v="231"/>
    <x v="230"/>
    <x v="27"/>
    <x v="27"/>
    <n v="46200000"/>
    <n v="1797.0416"/>
    <x v="24"/>
    <n v="79"/>
    <n v="22"/>
    <n v="2012"/>
    <n v="2"/>
    <s v="Chicago"/>
  </r>
  <r>
    <n v="232"/>
    <x v="231"/>
    <x v="9"/>
    <x v="9"/>
    <n v="120500000"/>
    <n v="1795.6922"/>
    <x v="1"/>
    <n v="22"/>
    <n v="2"/>
    <n v="2015"/>
    <n v="1"/>
    <s v="Sacramento"/>
  </r>
  <r>
    <n v="233"/>
    <x v="232"/>
    <x v="9"/>
    <x v="9"/>
    <n v="4700000"/>
    <n v="1792.335"/>
    <x v="9"/>
    <n v="30"/>
    <n v="11"/>
    <n v="2012"/>
    <n v="1"/>
    <s v="Oakland"/>
  </r>
  <r>
    <n v="234"/>
    <x v="233"/>
    <x v="2"/>
    <x v="2"/>
    <n v="12000000"/>
    <n v="1790.0996"/>
    <x v="8"/>
    <n v="44"/>
    <n v="5"/>
    <n v="2015"/>
    <n v="1"/>
    <s v="Round Rock"/>
  </r>
  <r>
    <n v="235"/>
    <x v="234"/>
    <x v="9"/>
    <x v="9"/>
    <n v="2300000"/>
    <n v="1789.8022000000001"/>
    <x v="19"/>
    <n v="3"/>
    <n v="1"/>
    <n v="2014"/>
    <n v="1"/>
    <s v="Los Angeles"/>
  </r>
  <r>
    <n v="236"/>
    <x v="235"/>
    <x v="9"/>
    <x v="9"/>
    <n v="4300000"/>
    <n v="1786.4145000000001"/>
    <x v="5"/>
    <n v="19"/>
    <n v="10"/>
    <n v="2014"/>
    <n v="1"/>
    <s v="La Jolla"/>
  </r>
  <r>
    <n v="237"/>
    <x v="236"/>
    <x v="21"/>
    <x v="21"/>
    <n v="11100000"/>
    <n v="1781.0661"/>
    <x v="11"/>
    <n v="152"/>
    <n v="11"/>
    <n v="2007"/>
    <n v="1"/>
    <s v="LARGO"/>
  </r>
  <r>
    <n v="238"/>
    <x v="237"/>
    <x v="9"/>
    <x v="9"/>
    <n v="3600000"/>
    <n v="1775.3905"/>
    <x v="9"/>
    <n v="25"/>
    <n v="3"/>
    <n v="2014"/>
    <n v="1"/>
    <s v="Chico"/>
  </r>
  <r>
    <n v="239"/>
    <x v="238"/>
    <x v="8"/>
    <x v="8"/>
    <n v="7300000"/>
    <n v="1765.6791000000001"/>
    <x v="13"/>
    <n v="6"/>
    <n v="2"/>
    <n v="2013"/>
    <n v="1"/>
    <s v="Columbus"/>
  </r>
  <r>
    <n v="240"/>
    <x v="239"/>
    <x v="2"/>
    <x v="2"/>
    <n v="6300000"/>
    <n v="1763.0807"/>
    <x v="3"/>
    <n v="60"/>
    <n v="10"/>
    <n v="2013"/>
    <n v="1"/>
    <s v="Houston"/>
  </r>
  <r>
    <n v="241"/>
    <x v="240"/>
    <x v="4"/>
    <x v="4"/>
    <n v="3300000"/>
    <n v="1759.1475"/>
    <x v="15"/>
    <n v="5"/>
    <n v="2"/>
    <n v="2015"/>
    <n v="1"/>
    <s v="Lancaster"/>
  </r>
  <r>
    <n v="242"/>
    <x v="241"/>
    <x v="18"/>
    <x v="18"/>
    <n v="2100000"/>
    <n v="1738.1728000000001"/>
    <x v="5"/>
    <n v="12"/>
    <n v="2"/>
    <n v="2013"/>
    <n v="1"/>
    <s v="Cary"/>
  </r>
  <r>
    <n v="243"/>
    <x v="242"/>
    <x v="21"/>
    <x v="21"/>
    <n v="5300000"/>
    <n v="1733.9362000000001"/>
    <x v="20"/>
    <n v="40"/>
    <n v="10"/>
    <n v="2014"/>
    <n v="1"/>
    <s v="Bethesda"/>
  </r>
  <r>
    <n v="244"/>
    <x v="243"/>
    <x v="5"/>
    <x v="5"/>
    <n v="26300000"/>
    <n v="1732.6297"/>
    <x v="3"/>
    <n v="21"/>
    <n v="5"/>
    <n v="2012"/>
    <n v="3"/>
    <s v="Doral"/>
  </r>
  <r>
    <n v="246"/>
    <x v="244"/>
    <x v="10"/>
    <x v="10"/>
    <n v="13400000"/>
    <n v="1726.7615000000001"/>
    <x v="13"/>
    <n v="25"/>
    <n v="4"/>
    <n v="2014"/>
    <n v="1"/>
    <s v="LaSalle"/>
  </r>
  <r>
    <n v="247"/>
    <x v="245"/>
    <x v="13"/>
    <x v="13"/>
    <n v="467400000"/>
    <n v="1723.8604"/>
    <x v="12"/>
    <n v="900"/>
    <n v="75"/>
    <n v="2010"/>
    <n v="2"/>
    <s v="Atlanta"/>
  </r>
  <r>
    <n v="248"/>
    <x v="246"/>
    <x v="0"/>
    <x v="0"/>
    <n v="8300000.0000000009"/>
    <n v="1713.4616000000001"/>
    <x v="18"/>
    <n v="275"/>
    <n v="35"/>
    <n v="2014"/>
    <n v="1"/>
    <s v="Phoenix"/>
  </r>
  <r>
    <n v="249"/>
    <x v="247"/>
    <x v="5"/>
    <x v="5"/>
    <n v="2300000"/>
    <n v="1710.2375"/>
    <x v="23"/>
    <n v="10"/>
    <n v="2"/>
    <n v="2015"/>
    <n v="1"/>
    <s v="Miami"/>
  </r>
  <r>
    <n v="250"/>
    <x v="248"/>
    <x v="33"/>
    <x v="33"/>
    <n v="4400000"/>
    <n v="1702.6456000000001"/>
    <x v="16"/>
    <n v="59"/>
    <n v="6"/>
    <n v="2014"/>
    <n v="1"/>
    <s v="Indianapolis"/>
  </r>
  <r>
    <n v="251"/>
    <x v="249"/>
    <x v="10"/>
    <x v="10"/>
    <n v="46200000"/>
    <n v="1700.1602"/>
    <x v="15"/>
    <n v="18"/>
    <n v="4"/>
    <n v="2015"/>
    <n v="2"/>
    <s v="Loveland"/>
  </r>
  <r>
    <n v="252"/>
    <x v="250"/>
    <x v="22"/>
    <x v="22"/>
    <n v="7400000"/>
    <n v="1699.3732"/>
    <x v="7"/>
    <n v="35"/>
    <n v="10"/>
    <n v="2015"/>
    <n v="1"/>
    <s v="Minneapolis"/>
  </r>
  <r>
    <n v="253"/>
    <x v="251"/>
    <x v="24"/>
    <x v="24"/>
    <n v="3700000"/>
    <n v="1692.6066000000001"/>
    <x v="22"/>
    <n v="25"/>
    <n v="12"/>
    <n v="2014"/>
    <n v="1"/>
    <s v="Burlington"/>
  </r>
  <r>
    <n v="254"/>
    <x v="252"/>
    <x v="15"/>
    <x v="15"/>
    <n v="3100000"/>
    <n v="1692.6045999999999"/>
    <x v="3"/>
    <n v="9"/>
    <n v="2"/>
    <n v="2014"/>
    <n v="1"/>
    <s v="Garden City"/>
  </r>
  <r>
    <n v="255"/>
    <x v="253"/>
    <x v="20"/>
    <x v="20"/>
    <n v="10500000"/>
    <n v="1685.8634"/>
    <x v="0"/>
    <n v="20"/>
    <n v="4"/>
    <n v="2014"/>
    <n v="1"/>
    <s v="Royal Oak"/>
  </r>
  <r>
    <n v="256"/>
    <x v="254"/>
    <x v="12"/>
    <x v="12"/>
    <n v="10100000"/>
    <n v="1681.6204"/>
    <x v="20"/>
    <n v="2"/>
    <n v="1"/>
    <n v="2014"/>
    <n v="1"/>
    <s v="Valley Stream"/>
  </r>
  <r>
    <n v="257"/>
    <x v="255"/>
    <x v="9"/>
    <x v="9"/>
    <n v="8800000"/>
    <n v="1677.2330999999999"/>
    <x v="4"/>
    <n v="15"/>
    <n v="3"/>
    <n v="2014"/>
    <n v="2"/>
    <s v="Long Beach"/>
  </r>
  <r>
    <n v="258"/>
    <x v="256"/>
    <x v="16"/>
    <x v="16"/>
    <n v="58800000"/>
    <n v="1672.8297"/>
    <x v="10"/>
    <n v="250"/>
    <n v="30"/>
    <n v="2014"/>
    <n v="1"/>
    <s v="American Fork"/>
  </r>
  <r>
    <n v="259"/>
    <x v="257"/>
    <x v="2"/>
    <x v="2"/>
    <n v="7200000"/>
    <n v="1666.4879000000001"/>
    <x v="3"/>
    <n v="25"/>
    <n v="2"/>
    <n v="2014"/>
    <n v="1"/>
    <s v="Austin"/>
  </r>
  <r>
    <n v="260"/>
    <x v="258"/>
    <x v="8"/>
    <x v="8"/>
    <n v="3700000"/>
    <n v="1661.7406000000001"/>
    <x v="3"/>
    <n v="5"/>
    <n v="3"/>
    <n v="2014"/>
    <n v="1"/>
    <s v="Plain City"/>
  </r>
  <r>
    <n v="261"/>
    <x v="259"/>
    <x v="10"/>
    <x v="10"/>
    <n v="4200000"/>
    <n v="1653.9969000000001"/>
    <x v="5"/>
    <n v="31"/>
    <n v="12"/>
    <n v="2015"/>
    <n v="1"/>
    <s v="Denver"/>
  </r>
  <r>
    <n v="262"/>
    <x v="260"/>
    <x v="2"/>
    <x v="2"/>
    <n v="8500000"/>
    <n v="1653.441"/>
    <x v="22"/>
    <n v="29"/>
    <n v="16"/>
    <n v="2012"/>
    <n v="1"/>
    <s v="Frisco"/>
  </r>
  <r>
    <n v="263"/>
    <x v="261"/>
    <x v="21"/>
    <x v="21"/>
    <n v="4700000"/>
    <n v="1651.5508"/>
    <x v="23"/>
    <n v="175"/>
    <n v="20"/>
    <n v="2014"/>
    <n v="2"/>
    <s v="Linthicum, MD 21090"/>
  </r>
  <r>
    <n v="264"/>
    <x v="262"/>
    <x v="12"/>
    <x v="12"/>
    <n v="4500000"/>
    <n v="1650.6419000000001"/>
    <x v="3"/>
    <n v="18"/>
    <n v="3"/>
    <n v="2015"/>
    <n v="1"/>
    <s v="HAUPPAUGE"/>
  </r>
  <r>
    <n v="265"/>
    <x v="263"/>
    <x v="9"/>
    <x v="9"/>
    <n v="2600000"/>
    <n v="1650.1407999999999"/>
    <x v="17"/>
    <n v="18"/>
    <n v="3"/>
    <n v="2015"/>
    <n v="1"/>
    <s v="hacienda heights"/>
  </r>
  <r>
    <n v="266"/>
    <x v="264"/>
    <x v="27"/>
    <x v="27"/>
    <n v="2200000"/>
    <n v="1648.4583"/>
    <x v="16"/>
    <n v="16"/>
    <n v="1"/>
    <n v="2011"/>
    <n v="1"/>
    <s v="Elmhurst"/>
  </r>
  <r>
    <n v="267"/>
    <x v="265"/>
    <x v="11"/>
    <x v="11"/>
    <n v="71600000"/>
    <n v="1636.3737000000001"/>
    <x v="12"/>
    <n v="49"/>
    <n v="13"/>
    <n v="2009"/>
    <n v="1"/>
    <s v="Vancouver"/>
  </r>
  <r>
    <n v="268"/>
    <x v="266"/>
    <x v="4"/>
    <x v="4"/>
    <n v="726100000"/>
    <n v="1634.6901"/>
    <x v="5"/>
    <n v="164"/>
    <n v="26"/>
    <n v="2011"/>
    <n v="4"/>
    <s v="Pittsburgh"/>
  </r>
  <r>
    <n v="269"/>
    <x v="267"/>
    <x v="37"/>
    <x v="37"/>
    <n v="2700000"/>
    <n v="1627.4742000000001"/>
    <x v="0"/>
    <n v="6"/>
    <n v="1"/>
    <n v="2015"/>
    <n v="1"/>
    <s v="Mount Pleasant"/>
  </r>
  <r>
    <n v="270"/>
    <x v="268"/>
    <x v="21"/>
    <x v="21"/>
    <n v="259399999.99999997"/>
    <n v="1621.7206000000001"/>
    <x v="11"/>
    <n v="231"/>
    <n v="175"/>
    <n v="1999"/>
    <n v="4"/>
    <s v="Greenbelt"/>
  </r>
  <r>
    <n v="271"/>
    <x v="269"/>
    <x v="27"/>
    <x v="27"/>
    <n v="7700000"/>
    <n v="1621.3485000000001"/>
    <x v="4"/>
    <n v="12"/>
    <n v="2"/>
    <n v="2015"/>
    <n v="1"/>
    <s v="Evanston"/>
  </r>
  <r>
    <n v="272"/>
    <x v="270"/>
    <x v="24"/>
    <x v="24"/>
    <n v="8600000"/>
    <n v="1609.4897000000001"/>
    <x v="0"/>
    <n v="375"/>
    <n v="65"/>
    <n v="2012"/>
    <n v="2"/>
    <s v="NEWTON CENTER"/>
  </r>
  <r>
    <n v="273"/>
    <x v="271"/>
    <x v="12"/>
    <x v="12"/>
    <n v="14000000"/>
    <n v="1606.1159"/>
    <x v="9"/>
    <n v="81"/>
    <n v="16"/>
    <n v="2014"/>
    <n v="1"/>
    <s v="New York"/>
  </r>
  <r>
    <n v="274"/>
    <x v="272"/>
    <x v="27"/>
    <x v="27"/>
    <n v="3000000"/>
    <n v="1600.7610999999999"/>
    <x v="23"/>
    <n v="10"/>
    <n v="1"/>
    <n v="2011"/>
    <n v="2"/>
    <s v="Hoffman Estates"/>
  </r>
  <r>
    <n v="275"/>
    <x v="273"/>
    <x v="7"/>
    <x v="7"/>
    <n v="18400000"/>
    <n v="1600.2494999999999"/>
    <x v="19"/>
    <n v="106"/>
    <n v="16"/>
    <n v="2014"/>
    <n v="1"/>
    <s v="Vienna"/>
  </r>
  <r>
    <n v="276"/>
    <x v="274"/>
    <x v="6"/>
    <x v="6"/>
    <n v="4099999.9999999995"/>
    <n v="1599.4677999999999"/>
    <x v="9"/>
    <n v="20"/>
    <n v="15"/>
    <n v="2011"/>
    <n v="1"/>
    <s v="Hoboken"/>
  </r>
  <r>
    <n v="277"/>
    <x v="275"/>
    <x v="37"/>
    <x v="37"/>
    <n v="8400000"/>
    <n v="1572.0504000000001"/>
    <x v="1"/>
    <n v="81"/>
    <n v="15"/>
    <n v="2009"/>
    <n v="2"/>
    <s v="Charleston"/>
  </r>
  <r>
    <n v="278"/>
    <x v="276"/>
    <x v="21"/>
    <x v="21"/>
    <n v="5500000"/>
    <n v="1569.6044999999999"/>
    <x v="11"/>
    <n v="22"/>
    <n v="3"/>
    <n v="1999"/>
    <n v="4"/>
    <s v="Gaithersburg"/>
  </r>
  <r>
    <n v="279"/>
    <x v="277"/>
    <x v="12"/>
    <x v="12"/>
    <n v="5200000"/>
    <n v="1567.7859000000001"/>
    <x v="5"/>
    <n v="45"/>
    <n v="5"/>
    <n v="2012"/>
    <n v="2"/>
    <s v="New York"/>
  </r>
  <r>
    <n v="280"/>
    <x v="278"/>
    <x v="27"/>
    <x v="27"/>
    <n v="3400000"/>
    <n v="1558.2846"/>
    <x v="23"/>
    <n v="32"/>
    <n v="1"/>
    <n v="2013"/>
    <n v="1"/>
    <s v="Chicago"/>
  </r>
  <r>
    <n v="281"/>
    <x v="279"/>
    <x v="5"/>
    <x v="5"/>
    <n v="2300000"/>
    <n v="1554.4394"/>
    <x v="24"/>
    <n v="9"/>
    <n v="2"/>
    <n v="2011"/>
    <n v="1"/>
    <s v="Jacksonville"/>
  </r>
  <r>
    <n v="282"/>
    <x v="280"/>
    <x v="13"/>
    <x v="13"/>
    <n v="40900000"/>
    <n v="1553.7538999999999"/>
    <x v="21"/>
    <n v="323"/>
    <n v="47"/>
    <n v="2012"/>
    <n v="3"/>
    <s v="Atlanta"/>
  </r>
  <r>
    <n v="283"/>
    <x v="281"/>
    <x v="37"/>
    <x v="37"/>
    <n v="13700000"/>
    <n v="1553.3569"/>
    <x v="13"/>
    <n v="23"/>
    <n v="5"/>
    <n v="2015"/>
    <n v="1"/>
    <s v="Simpsonville"/>
  </r>
  <r>
    <n v="284"/>
    <x v="282"/>
    <x v="18"/>
    <x v="18"/>
    <n v="93900000"/>
    <n v="1549.3842999999999"/>
    <x v="5"/>
    <n v="502"/>
    <n v="65"/>
    <n v="2014"/>
    <n v="1"/>
    <s v="Raleigh"/>
  </r>
  <r>
    <n v="285"/>
    <x v="283"/>
    <x v="2"/>
    <x v="2"/>
    <n v="4900000"/>
    <n v="1549.2845"/>
    <x v="9"/>
    <n v="73"/>
    <n v="21"/>
    <n v="2013"/>
    <n v="1"/>
    <s v="Austin"/>
  </r>
  <r>
    <n v="286"/>
    <x v="284"/>
    <x v="23"/>
    <x v="23"/>
    <n v="113500000"/>
    <n v="1545.2612999999999"/>
    <x v="5"/>
    <n v="1500"/>
    <n v="500"/>
    <n v="2014"/>
    <n v="2"/>
    <s v="Birmimgham"/>
  </r>
  <r>
    <n v="287"/>
    <x v="285"/>
    <x v="38"/>
    <x v="38"/>
    <n v="2700000"/>
    <n v="1541.2816"/>
    <x v="20"/>
    <n v="11"/>
    <n v="2"/>
    <n v="2015"/>
    <n v="1"/>
    <s v="Metairie"/>
  </r>
  <r>
    <n v="288"/>
    <x v="286"/>
    <x v="2"/>
    <x v="2"/>
    <n v="9100000"/>
    <n v="1539.2442000000001"/>
    <x v="13"/>
    <n v="88"/>
    <n v="15"/>
    <n v="2007"/>
    <n v="2"/>
    <s v="Austin"/>
  </r>
  <r>
    <n v="289"/>
    <x v="287"/>
    <x v="9"/>
    <x v="9"/>
    <n v="97400000"/>
    <n v="1522.1528000000001"/>
    <x v="5"/>
    <n v="60"/>
    <n v="12"/>
    <n v="2007"/>
    <n v="3"/>
    <s v="Solana Beach"/>
  </r>
  <r>
    <n v="290"/>
    <x v="288"/>
    <x v="9"/>
    <x v="9"/>
    <n v="2600000"/>
    <n v="1521.8605"/>
    <x v="0"/>
    <n v="15"/>
    <n v="2"/>
    <n v="2015"/>
    <n v="1"/>
    <s v="Valencia"/>
  </r>
  <r>
    <n v="291"/>
    <x v="289"/>
    <x v="5"/>
    <x v="5"/>
    <n v="6100000"/>
    <n v="1519.3447000000001"/>
    <x v="23"/>
    <n v="60"/>
    <n v="5"/>
    <n v="2015"/>
    <n v="1"/>
    <s v="Odessa"/>
  </r>
  <r>
    <n v="292"/>
    <x v="290"/>
    <x v="7"/>
    <x v="7"/>
    <n v="9800000"/>
    <n v="1517.8234"/>
    <x v="11"/>
    <n v="175"/>
    <n v="4"/>
    <n v="2002"/>
    <n v="1"/>
    <s v="Alexandria"/>
  </r>
  <r>
    <n v="293"/>
    <x v="291"/>
    <x v="13"/>
    <x v="13"/>
    <n v="20800000"/>
    <n v="1515.7374"/>
    <x v="4"/>
    <n v="90"/>
    <n v="35"/>
    <n v="2014"/>
    <n v="1"/>
    <s v="Marietta"/>
  </r>
  <r>
    <n v="294"/>
    <x v="292"/>
    <x v="5"/>
    <x v="5"/>
    <n v="3600000"/>
    <n v="1515.61"/>
    <x v="4"/>
    <n v="63"/>
    <n v="6"/>
    <n v="2015"/>
    <n v="1"/>
    <s v="Miami"/>
  </r>
  <r>
    <n v="295"/>
    <x v="293"/>
    <x v="5"/>
    <x v="5"/>
    <n v="2200000"/>
    <n v="1514.6812"/>
    <x v="19"/>
    <n v="22"/>
    <n v="3"/>
    <n v="2014"/>
    <n v="1"/>
    <s v="Melbourne"/>
  </r>
  <r>
    <n v="296"/>
    <x v="294"/>
    <x v="11"/>
    <x v="11"/>
    <n v="6300000"/>
    <n v="1508.6474000000001"/>
    <x v="9"/>
    <n v="44"/>
    <n v="15"/>
    <n v="2012"/>
    <n v="2"/>
    <s v="Seattle"/>
  </r>
  <r>
    <n v="297"/>
    <x v="295"/>
    <x v="15"/>
    <x v="15"/>
    <n v="9100000"/>
    <n v="1507.9686999999999"/>
    <x v="1"/>
    <n v="15"/>
    <n v="5"/>
    <n v="2008"/>
    <n v="3"/>
    <s v="Hayden"/>
  </r>
  <r>
    <n v="298"/>
    <x v="296"/>
    <x v="9"/>
    <x v="9"/>
    <n v="11800000"/>
    <n v="1505.6425999999999"/>
    <x v="9"/>
    <n v="102"/>
    <n v="12"/>
    <n v="2013"/>
    <n v="1"/>
    <s v="San Francisco"/>
  </r>
  <r>
    <n v="299"/>
    <x v="297"/>
    <x v="13"/>
    <x v="13"/>
    <n v="3200000"/>
    <n v="1501.0992000000001"/>
    <x v="0"/>
    <n v="35"/>
    <n v="3"/>
    <n v="2011"/>
    <n v="1"/>
    <s v="Atlanta"/>
  </r>
  <r>
    <n v="300"/>
    <x v="298"/>
    <x v="5"/>
    <x v="5"/>
    <n v="14100000"/>
    <n v="1496.3723"/>
    <x v="5"/>
    <n v="100"/>
    <n v="10"/>
    <n v="2012"/>
    <n v="1"/>
    <s v="doral"/>
  </r>
  <r>
    <n v="301"/>
    <x v="299"/>
    <x v="15"/>
    <x v="15"/>
    <n v="6600000"/>
    <n v="1493.1967"/>
    <x v="14"/>
    <n v="20"/>
    <n v="4"/>
    <n v="2015"/>
    <n v="1"/>
    <s v="Boise"/>
  </r>
  <r>
    <n v="302"/>
    <x v="300"/>
    <x v="11"/>
    <x v="11"/>
    <n v="2700000"/>
    <n v="1488.4058"/>
    <x v="3"/>
    <n v="46"/>
    <n v="2"/>
    <n v="2014"/>
    <n v="1"/>
    <s v="Richland"/>
  </r>
  <r>
    <n v="303"/>
    <x v="301"/>
    <x v="5"/>
    <x v="5"/>
    <n v="47100000"/>
    <n v="1487.4149"/>
    <x v="1"/>
    <n v="55"/>
    <n v="6"/>
    <n v="2014"/>
    <n v="1"/>
    <s v="Boca Raton"/>
  </r>
  <r>
    <n v="304"/>
    <x v="302"/>
    <x v="9"/>
    <x v="9"/>
    <n v="65200000"/>
    <n v="1482.0707"/>
    <x v="0"/>
    <n v="203"/>
    <n v="140"/>
    <n v="2005"/>
    <n v="2"/>
    <s v="Santa Clara"/>
  </r>
  <r>
    <n v="305"/>
    <x v="303"/>
    <x v="12"/>
    <x v="12"/>
    <n v="4400000"/>
    <n v="1480.2849000000001"/>
    <x v="9"/>
    <n v="80"/>
    <n v="9"/>
    <n v="2013"/>
    <n v="1"/>
    <s v="New York"/>
  </r>
  <r>
    <n v="306"/>
    <x v="304"/>
    <x v="23"/>
    <x v="23"/>
    <n v="76900000"/>
    <n v="1472.3901000000001"/>
    <x v="5"/>
    <n v="60"/>
    <n v="30"/>
    <n v="2012"/>
    <n v="1"/>
    <s v="Mobile"/>
  </r>
  <r>
    <n v="307"/>
    <x v="305"/>
    <x v="13"/>
    <x v="13"/>
    <n v="16100000.000000002"/>
    <n v="1469.7828"/>
    <x v="0"/>
    <n v="36"/>
    <n v="6"/>
    <n v="2012"/>
    <n v="3"/>
    <s v="Atlanta"/>
  </r>
  <r>
    <n v="308"/>
    <x v="306"/>
    <x v="9"/>
    <x v="9"/>
    <n v="6800000"/>
    <n v="1469.3516999999999"/>
    <x v="4"/>
    <n v="19"/>
    <n v="3"/>
    <n v="2014"/>
    <n v="1"/>
    <s v="San Diego"/>
  </r>
  <r>
    <n v="309"/>
    <x v="307"/>
    <x v="9"/>
    <x v="9"/>
    <n v="2900000"/>
    <n v="1468.3844999999999"/>
    <x v="0"/>
    <n v="18"/>
    <n v="8"/>
    <n v="2015"/>
    <n v="1"/>
    <s v="Solana Bech"/>
  </r>
  <r>
    <n v="310"/>
    <x v="308"/>
    <x v="8"/>
    <x v="8"/>
    <n v="3400000"/>
    <n v="1467.1741"/>
    <x v="1"/>
    <n v="23"/>
    <n v="2"/>
    <n v="2012"/>
    <n v="1"/>
    <s v="Dayton"/>
  </r>
  <r>
    <n v="311"/>
    <x v="309"/>
    <x v="5"/>
    <x v="5"/>
    <n v="5800000"/>
    <n v="1464.4640999999999"/>
    <x v="12"/>
    <n v="6"/>
    <n v="2"/>
    <n v="2014"/>
    <n v="1"/>
    <s v="Miami Beach"/>
  </r>
  <r>
    <n v="312"/>
    <x v="310"/>
    <x v="9"/>
    <x v="9"/>
    <n v="3200000"/>
    <n v="1460.6844000000001"/>
    <x v="23"/>
    <n v="55"/>
    <n v="4"/>
    <n v="2015"/>
    <n v="1"/>
    <s v="Venice"/>
  </r>
  <r>
    <n v="313"/>
    <x v="311"/>
    <x v="9"/>
    <x v="9"/>
    <n v="5300000"/>
    <n v="1458.0881999999999"/>
    <x v="3"/>
    <n v="15"/>
    <n v="4"/>
    <n v="2014"/>
    <n v="1"/>
    <s v="Fontana"/>
  </r>
  <r>
    <n v="314"/>
    <x v="312"/>
    <x v="38"/>
    <x v="38"/>
    <n v="2000000"/>
    <n v="1455.2822000000001"/>
    <x v="9"/>
    <n v="41"/>
    <n v="15"/>
    <n v="2015"/>
    <n v="1"/>
    <s v="Lafayette"/>
  </r>
  <r>
    <n v="315"/>
    <x v="313"/>
    <x v="9"/>
    <x v="9"/>
    <n v="35700000"/>
    <n v="1454.4016999999999"/>
    <x v="0"/>
    <n v="70"/>
    <n v="5"/>
    <n v="2014"/>
    <n v="1"/>
    <s v="San Diego"/>
  </r>
  <r>
    <n v="316"/>
    <x v="314"/>
    <x v="10"/>
    <x v="10"/>
    <n v="9900000"/>
    <n v="1449.1161"/>
    <x v="1"/>
    <n v="11"/>
    <n v="1"/>
    <n v="2015"/>
    <n v="1"/>
    <s v="Denver"/>
  </r>
  <r>
    <n v="317"/>
    <x v="315"/>
    <x v="14"/>
    <x v="14"/>
    <n v="2300000"/>
    <n v="1447.5148999999999"/>
    <x v="5"/>
    <n v="20"/>
    <n v="5"/>
    <n v="2015"/>
    <n v="1"/>
    <s v="Prospect"/>
  </r>
  <r>
    <n v="318"/>
    <x v="316"/>
    <x v="2"/>
    <x v="2"/>
    <n v="5800000"/>
    <n v="1444.5616"/>
    <x v="3"/>
    <n v="10"/>
    <n v="2"/>
    <n v="2015"/>
    <n v="1"/>
    <s v="Austin"/>
  </r>
  <r>
    <n v="319"/>
    <x v="317"/>
    <x v="2"/>
    <x v="2"/>
    <n v="2800000"/>
    <n v="1444.146"/>
    <x v="24"/>
    <n v="15"/>
    <n v="2"/>
    <n v="2014"/>
    <n v="1"/>
    <s v="ALLEN"/>
  </r>
  <r>
    <n v="320"/>
    <x v="318"/>
    <x v="9"/>
    <x v="9"/>
    <n v="25100000"/>
    <n v="1437.6078"/>
    <x v="9"/>
    <n v="179"/>
    <n v="131"/>
    <n v="2010"/>
    <n v="1"/>
    <s v="Mountain View"/>
  </r>
  <r>
    <n v="321"/>
    <x v="319"/>
    <x v="27"/>
    <x v="27"/>
    <n v="134199999.99999999"/>
    <n v="1434.9543000000001"/>
    <x v="7"/>
    <n v="308"/>
    <n v="27"/>
    <n v="2012"/>
    <n v="4"/>
    <s v="Chicago"/>
  </r>
  <r>
    <n v="322"/>
    <x v="320"/>
    <x v="9"/>
    <x v="9"/>
    <n v="5000000"/>
    <n v="1433.9761000000001"/>
    <x v="0"/>
    <n v="47"/>
    <n v="8"/>
    <n v="2014"/>
    <n v="2"/>
    <s v="Newport Beach"/>
  </r>
  <r>
    <n v="323"/>
    <x v="321"/>
    <x v="9"/>
    <x v="9"/>
    <n v="8199999.9999999991"/>
    <n v="1426.4898000000001"/>
    <x v="9"/>
    <n v="203"/>
    <n v="52"/>
    <n v="2012"/>
    <n v="2"/>
    <s v="San Diego"/>
  </r>
  <r>
    <n v="324"/>
    <x v="322"/>
    <x v="5"/>
    <x v="5"/>
    <n v="2600000"/>
    <n v="1423.6886"/>
    <x v="13"/>
    <n v="6"/>
    <n v="1"/>
    <n v="2014"/>
    <n v="1"/>
    <s v="Saint Augustine"/>
  </r>
  <r>
    <n v="325"/>
    <x v="323"/>
    <x v="2"/>
    <x v="2"/>
    <n v="2300000"/>
    <n v="1423.4909"/>
    <x v="12"/>
    <n v="14"/>
    <n v="3"/>
    <n v="2015"/>
    <n v="1"/>
    <s v="Dallas"/>
  </r>
  <r>
    <n v="326"/>
    <x v="324"/>
    <x v="2"/>
    <x v="2"/>
    <n v="3800000"/>
    <n v="1423.4061999999999"/>
    <x v="4"/>
    <n v="10"/>
    <n v="2"/>
    <n v="2009"/>
    <n v="1"/>
    <s v="Austin"/>
  </r>
  <r>
    <n v="327"/>
    <x v="325"/>
    <x v="9"/>
    <x v="9"/>
    <n v="6800000"/>
    <n v="1417.8894"/>
    <x v="19"/>
    <n v="24"/>
    <n v="8"/>
    <n v="2012"/>
    <n v="1"/>
    <s v="Irvine"/>
  </r>
  <r>
    <n v="328"/>
    <x v="326"/>
    <x v="2"/>
    <x v="2"/>
    <n v="27300000"/>
    <n v="1408.6405"/>
    <x v="9"/>
    <n v="101"/>
    <n v="13"/>
    <n v="2013"/>
    <n v="2"/>
    <s v="Fort Worth"/>
  </r>
  <r>
    <n v="329"/>
    <x v="327"/>
    <x v="20"/>
    <x v="20"/>
    <n v="9700000"/>
    <n v="1408.0842"/>
    <x v="0"/>
    <n v="18"/>
    <n v="5"/>
    <n v="2012"/>
    <n v="1"/>
    <s v="Lansing"/>
  </r>
  <r>
    <n v="330"/>
    <x v="328"/>
    <x v="18"/>
    <x v="18"/>
    <n v="2900000"/>
    <n v="1407.5845999999999"/>
    <x v="9"/>
    <n v="25"/>
    <n v="1"/>
    <n v="2015"/>
    <n v="1"/>
    <s v="Raleigh"/>
  </r>
  <r>
    <n v="331"/>
    <x v="329"/>
    <x v="2"/>
    <x v="2"/>
    <n v="16200000"/>
    <n v="1405.9213"/>
    <x v="1"/>
    <n v="84"/>
    <n v="22"/>
    <n v="2014"/>
    <n v="1"/>
    <s v="Austin"/>
  </r>
  <r>
    <n v="332"/>
    <x v="330"/>
    <x v="13"/>
    <x v="13"/>
    <n v="2000000"/>
    <n v="1405.0606"/>
    <x v="0"/>
    <n v="12"/>
    <n v="2"/>
    <n v="2007"/>
    <n v="1"/>
    <s v="Buford"/>
  </r>
  <r>
    <n v="333"/>
    <x v="331"/>
    <x v="12"/>
    <x v="12"/>
    <n v="3400000"/>
    <n v="1404.0037"/>
    <x v="7"/>
    <n v="54"/>
    <n v="20"/>
    <n v="2013"/>
    <n v="1"/>
    <s v="New York"/>
  </r>
  <r>
    <n v="334"/>
    <x v="332"/>
    <x v="5"/>
    <x v="5"/>
    <n v="4000000"/>
    <n v="1399.7156"/>
    <x v="0"/>
    <n v="38"/>
    <n v="1"/>
    <n v="2014"/>
    <n v="2"/>
    <s v="West Palm Beach"/>
  </r>
  <r>
    <n v="335"/>
    <x v="333"/>
    <x v="0"/>
    <x v="0"/>
    <n v="2800000"/>
    <n v="1398.2575999999999"/>
    <x v="19"/>
    <n v="140"/>
    <n v="35"/>
    <n v="2015"/>
    <n v="1"/>
    <s v="Phoenix"/>
  </r>
  <r>
    <n v="336"/>
    <x v="334"/>
    <x v="23"/>
    <x v="23"/>
    <n v="2200000"/>
    <n v="1386.454"/>
    <x v="12"/>
    <n v="12"/>
    <n v="4"/>
    <n v="2014"/>
    <n v="1"/>
    <s v="Fairhope"/>
  </r>
  <r>
    <n v="337"/>
    <x v="335"/>
    <x v="2"/>
    <x v="2"/>
    <n v="3700000"/>
    <n v="1385.4507000000001"/>
    <x v="11"/>
    <n v="41"/>
    <n v="7"/>
    <n v="2014"/>
    <n v="1"/>
    <s v="San Antonio"/>
  </r>
  <r>
    <n v="338"/>
    <x v="336"/>
    <x v="12"/>
    <x v="12"/>
    <n v="5700000"/>
    <n v="1379.7109"/>
    <x v="9"/>
    <n v="80"/>
    <n v="31"/>
    <n v="2013"/>
    <n v="1"/>
    <s v="New York"/>
  </r>
  <r>
    <n v="339"/>
    <x v="337"/>
    <x v="2"/>
    <x v="2"/>
    <n v="6000000"/>
    <n v="1373.0107"/>
    <x v="15"/>
    <n v="9"/>
    <n v="1"/>
    <n v="2014"/>
    <n v="1"/>
    <s v="Lubbock"/>
  </r>
  <r>
    <n v="340"/>
    <x v="338"/>
    <x v="21"/>
    <x v="21"/>
    <n v="2000000"/>
    <n v="1358.9992999999999"/>
    <x v="10"/>
    <n v="5"/>
    <n v="2"/>
    <n v="2011"/>
    <n v="1"/>
    <s v="Millersville"/>
  </r>
  <r>
    <n v="341"/>
    <x v="339"/>
    <x v="39"/>
    <x v="39"/>
    <n v="2200000"/>
    <n v="1354.3140000000001"/>
    <x v="0"/>
    <n v="7"/>
    <n v="4"/>
    <n v="2015"/>
    <n v="1"/>
    <s v="San Juan"/>
  </r>
  <r>
    <n v="342"/>
    <x v="340"/>
    <x v="27"/>
    <x v="27"/>
    <n v="12400000"/>
    <n v="1347.2415000000001"/>
    <x v="16"/>
    <n v="171"/>
    <n v="7"/>
    <n v="2013"/>
    <n v="1"/>
    <s v="Chicago"/>
  </r>
  <r>
    <n v="343"/>
    <x v="341"/>
    <x v="12"/>
    <x v="12"/>
    <n v="4300000"/>
    <n v="1344.2615000000001"/>
    <x v="14"/>
    <n v="25"/>
    <n v="3"/>
    <n v="2015"/>
    <n v="1"/>
    <s v="New York"/>
  </r>
  <r>
    <n v="344"/>
    <x v="342"/>
    <x v="5"/>
    <x v="5"/>
    <n v="33800000"/>
    <n v="1332.9945"/>
    <x v="0"/>
    <n v="60"/>
    <n v="5"/>
    <n v="2013"/>
    <n v="2"/>
    <s v="Deerfield Beach"/>
  </r>
  <r>
    <n v="345"/>
    <x v="343"/>
    <x v="0"/>
    <x v="0"/>
    <n v="7200000"/>
    <n v="1329.1786999999999"/>
    <x v="23"/>
    <n v="230"/>
    <n v="16"/>
    <n v="2015"/>
    <n v="1"/>
    <s v="Scottsdale"/>
  </r>
  <r>
    <n v="346"/>
    <x v="344"/>
    <x v="9"/>
    <x v="9"/>
    <n v="64300000"/>
    <n v="1327.8114"/>
    <x v="3"/>
    <n v="21"/>
    <n v="8"/>
    <n v="2010"/>
    <n v="4"/>
    <s v="Irvine"/>
  </r>
  <r>
    <n v="347"/>
    <x v="345"/>
    <x v="8"/>
    <x v="8"/>
    <n v="2700000"/>
    <n v="1326.3001999999999"/>
    <x v="23"/>
    <n v="2"/>
    <n v="2"/>
    <n v="2014"/>
    <n v="1"/>
    <s v="Cincinnati"/>
  </r>
  <r>
    <n v="348"/>
    <x v="346"/>
    <x v="27"/>
    <x v="27"/>
    <n v="29100000"/>
    <n v="1323.2632000000001"/>
    <x v="1"/>
    <n v="15"/>
    <n v="3"/>
    <n v="2011"/>
    <n v="1"/>
    <s v="Bolingbrook"/>
  </r>
  <r>
    <n v="349"/>
    <x v="347"/>
    <x v="11"/>
    <x v="11"/>
    <n v="10400000"/>
    <n v="1316.5717999999999"/>
    <x v="3"/>
    <n v="18"/>
    <n v="4"/>
    <n v="2013"/>
    <n v="2"/>
    <s v="Seattle"/>
  </r>
  <r>
    <n v="350"/>
    <x v="348"/>
    <x v="9"/>
    <x v="9"/>
    <n v="2300000"/>
    <n v="1313.9536000000001"/>
    <x v="9"/>
    <n v="19"/>
    <n v="4"/>
    <n v="2012"/>
    <n v="1"/>
    <s v="Oakland"/>
  </r>
  <r>
    <n v="351"/>
    <x v="349"/>
    <x v="9"/>
    <x v="9"/>
    <n v="35300000"/>
    <n v="1301.7556999999999"/>
    <x v="7"/>
    <n v="400"/>
    <n v="55"/>
    <n v="2012"/>
    <n v="2"/>
    <s v="San Francisco"/>
  </r>
  <r>
    <n v="352"/>
    <x v="350"/>
    <x v="9"/>
    <x v="9"/>
    <n v="24200000"/>
    <n v="1293.0074999999999"/>
    <x v="2"/>
    <n v="166"/>
    <n v="37"/>
    <n v="2014"/>
    <n v="2"/>
    <s v="Culver City"/>
  </r>
  <r>
    <n v="353"/>
    <x v="351"/>
    <x v="1"/>
    <x v="1"/>
    <n v="5700000"/>
    <n v="1291.1366"/>
    <x v="23"/>
    <n v="15"/>
    <n v="7"/>
    <n v="2014"/>
    <n v="1"/>
    <s v="Brentwood"/>
  </r>
  <r>
    <n v="354"/>
    <x v="352"/>
    <x v="6"/>
    <x v="6"/>
    <n v="19700000"/>
    <n v="1287.5316"/>
    <x v="23"/>
    <n v="185"/>
    <n v="32"/>
    <n v="2010"/>
    <n v="2"/>
    <s v="Piscataway"/>
  </r>
  <r>
    <n v="355"/>
    <x v="353"/>
    <x v="27"/>
    <x v="27"/>
    <n v="2900000"/>
    <n v="1282.6274000000001"/>
    <x v="7"/>
    <n v="16"/>
    <n v="2"/>
    <n v="2015"/>
    <n v="1"/>
    <s v="Oak Brook"/>
  </r>
  <r>
    <n v="356"/>
    <x v="354"/>
    <x v="9"/>
    <x v="9"/>
    <n v="2300000"/>
    <n v="1281.6939"/>
    <x v="23"/>
    <n v="8"/>
    <n v="3"/>
    <n v="2013"/>
    <n v="1"/>
    <s v="Costa Mesa"/>
  </r>
  <r>
    <n v="357"/>
    <x v="355"/>
    <x v="16"/>
    <x v="16"/>
    <n v="8000000"/>
    <n v="1279.3186000000001"/>
    <x v="9"/>
    <n v="100"/>
    <n v="7"/>
    <n v="2014"/>
    <n v="2"/>
    <s v="Lehi"/>
  </r>
  <r>
    <n v="358"/>
    <x v="356"/>
    <x v="7"/>
    <x v="7"/>
    <n v="8100000"/>
    <n v="1278.5516"/>
    <x v="23"/>
    <n v="27"/>
    <n v="3"/>
    <n v="1999"/>
    <n v="3"/>
    <s v="Virginia Beach"/>
  </r>
  <r>
    <n v="359"/>
    <x v="357"/>
    <x v="9"/>
    <x v="9"/>
    <n v="5900000"/>
    <n v="1275.5934"/>
    <x v="9"/>
    <n v="80"/>
    <n v="5"/>
    <n v="2014"/>
    <n v="1"/>
    <s v="San Jose"/>
  </r>
  <r>
    <n v="360"/>
    <x v="358"/>
    <x v="27"/>
    <x v="27"/>
    <n v="2100000"/>
    <n v="1270.6676"/>
    <x v="9"/>
    <n v="17"/>
    <n v="2"/>
    <n v="2013"/>
    <n v="1"/>
    <s v="Lombard"/>
  </r>
  <r>
    <n v="361"/>
    <x v="359"/>
    <x v="32"/>
    <x v="32"/>
    <n v="5900000"/>
    <n v="1264.9067"/>
    <x v="0"/>
    <n v="3"/>
    <n v="4"/>
    <n v="2009"/>
    <n v="1"/>
    <s v="Saint Louis"/>
  </r>
  <r>
    <n v="362"/>
    <x v="360"/>
    <x v="9"/>
    <x v="9"/>
    <n v="8800000"/>
    <n v="1255.0319"/>
    <x v="3"/>
    <n v="17"/>
    <n v="3"/>
    <n v="2014"/>
    <n v="1"/>
    <s v="Redondo Beach"/>
  </r>
  <r>
    <n v="363"/>
    <x v="361"/>
    <x v="7"/>
    <x v="7"/>
    <n v="16000000"/>
    <n v="1254.748"/>
    <x v="15"/>
    <n v="32"/>
    <n v="3"/>
    <n v="2014"/>
    <n v="1"/>
    <s v="manassas"/>
  </r>
  <r>
    <n v="364"/>
    <x v="362"/>
    <x v="15"/>
    <x v="15"/>
    <n v="12000000"/>
    <n v="1252.8198"/>
    <x v="4"/>
    <n v="29"/>
    <n v="19"/>
    <n v="2012"/>
    <n v="3"/>
    <s v="Post Falls"/>
  </r>
  <r>
    <n v="365"/>
    <x v="363"/>
    <x v="1"/>
    <x v="1"/>
    <n v="15300000"/>
    <n v="1248.1117999999999"/>
    <x v="18"/>
    <n v="22"/>
    <n v="7"/>
    <n v="2014"/>
    <n v="1"/>
    <s v="Brentwood"/>
  </r>
  <r>
    <n v="366"/>
    <x v="364"/>
    <x v="1"/>
    <x v="1"/>
    <n v="28000000"/>
    <n v="1247.5148999999999"/>
    <x v="1"/>
    <n v="36"/>
    <n v="4"/>
    <n v="2014"/>
    <n v="1"/>
    <s v="Chattanooga"/>
  </r>
  <r>
    <n v="367"/>
    <x v="365"/>
    <x v="33"/>
    <x v="33"/>
    <n v="2600000"/>
    <n v="1240.6025"/>
    <x v="15"/>
    <n v="11"/>
    <n v="2"/>
    <n v="2013"/>
    <n v="1"/>
    <s v="Carmel"/>
  </r>
  <r>
    <n v="368"/>
    <x v="366"/>
    <x v="7"/>
    <x v="7"/>
    <n v="2600000"/>
    <n v="1240.5595000000001"/>
    <x v="19"/>
    <n v="19"/>
    <n v="3"/>
    <n v="2002"/>
    <n v="2"/>
    <s v="Arlington"/>
  </r>
  <r>
    <n v="369"/>
    <x v="367"/>
    <x v="11"/>
    <x v="11"/>
    <n v="3100000"/>
    <n v="1240.3105"/>
    <x v="9"/>
    <n v="85"/>
    <n v="20"/>
    <n v="2013"/>
    <n v="1"/>
    <s v="Seattle"/>
  </r>
  <r>
    <n v="370"/>
    <x v="368"/>
    <x v="2"/>
    <x v="2"/>
    <n v="4700000"/>
    <n v="1237.9323999999999"/>
    <x v="19"/>
    <n v="30"/>
    <n v="3"/>
    <n v="2014"/>
    <n v="1"/>
    <s v="Houston"/>
  </r>
  <r>
    <n v="371"/>
    <x v="369"/>
    <x v="37"/>
    <x v="37"/>
    <n v="2700000"/>
    <n v="1232.4509"/>
    <x v="4"/>
    <n v="6"/>
    <n v="3"/>
    <n v="2015"/>
    <n v="1"/>
    <s v="Mt Pleasant"/>
  </r>
  <r>
    <n v="372"/>
    <x v="370"/>
    <x v="5"/>
    <x v="5"/>
    <n v="6400000"/>
    <n v="1231.4356"/>
    <x v="5"/>
    <n v="10"/>
    <n v="3"/>
    <n v="1994"/>
    <n v="1"/>
    <s v="Zephyrhills"/>
  </r>
  <r>
    <n v="373"/>
    <x v="371"/>
    <x v="7"/>
    <x v="7"/>
    <n v="21700000"/>
    <n v="1228.9271000000001"/>
    <x v="11"/>
    <n v="134"/>
    <n v="13"/>
    <n v="2005"/>
    <n v="2"/>
    <s v="Arlington"/>
  </r>
  <r>
    <n v="374"/>
    <x v="372"/>
    <x v="12"/>
    <x v="12"/>
    <n v="3400000"/>
    <n v="1226.6247000000001"/>
    <x v="19"/>
    <n v="121"/>
    <n v="16"/>
    <n v="2014"/>
    <n v="1"/>
    <s v="New York"/>
  </r>
  <r>
    <n v="375"/>
    <x v="373"/>
    <x v="27"/>
    <x v="27"/>
    <n v="4000000"/>
    <n v="1226.2361000000001"/>
    <x v="5"/>
    <n v="24"/>
    <n v="12"/>
    <n v="2011"/>
    <n v="2"/>
    <s v="Chicago"/>
  </r>
  <r>
    <n v="376"/>
    <x v="374"/>
    <x v="5"/>
    <x v="5"/>
    <n v="137200000"/>
    <n v="1225.5509"/>
    <x v="3"/>
    <n v="90"/>
    <n v="8"/>
    <n v="2013"/>
    <n v="2"/>
    <s v="Pembroke Pines"/>
  </r>
  <r>
    <n v="377"/>
    <x v="375"/>
    <x v="0"/>
    <x v="0"/>
    <n v="3800000"/>
    <n v="1220.8083999999999"/>
    <x v="4"/>
    <n v="6"/>
    <n v="1"/>
    <n v="2014"/>
    <n v="1"/>
    <s v="Tempe"/>
  </r>
  <r>
    <n v="378"/>
    <x v="376"/>
    <x v="21"/>
    <x v="21"/>
    <n v="31400000"/>
    <n v="1220.194"/>
    <x v="19"/>
    <n v="131"/>
    <n v="12"/>
    <n v="2008"/>
    <n v="1"/>
    <s v="Silver Spring"/>
  </r>
  <r>
    <n v="379"/>
    <x v="377"/>
    <x v="26"/>
    <x v="26"/>
    <n v="2000000"/>
    <n v="1216.3501000000001"/>
    <x v="9"/>
    <n v="45"/>
    <n v="12"/>
    <n v="2012"/>
    <n v="1"/>
    <s v="Leawood"/>
  </r>
  <r>
    <n v="380"/>
    <x v="378"/>
    <x v="9"/>
    <x v="9"/>
    <n v="21600000"/>
    <n v="1210.2204999999999"/>
    <x v="9"/>
    <n v="75"/>
    <n v="12"/>
    <n v="2012"/>
    <n v="1"/>
    <s v="San Diego"/>
  </r>
  <r>
    <n v="381"/>
    <x v="379"/>
    <x v="16"/>
    <x v="16"/>
    <n v="7000000"/>
    <n v="1203.7642000000001"/>
    <x v="5"/>
    <n v="84"/>
    <n v="14"/>
    <n v="2015"/>
    <n v="1"/>
    <s v="Pleasant Grove"/>
  </r>
  <r>
    <n v="382"/>
    <x v="380"/>
    <x v="12"/>
    <x v="12"/>
    <n v="30800000"/>
    <n v="1202.6660999999999"/>
    <x v="9"/>
    <n v="41"/>
    <n v="28"/>
    <n v="2011"/>
    <n v="2"/>
    <s v="New York"/>
  </r>
  <r>
    <n v="383"/>
    <x v="381"/>
    <x v="4"/>
    <x v="4"/>
    <n v="255900000"/>
    <n v="1200.9092000000001"/>
    <x v="4"/>
    <n v="56"/>
    <n v="10"/>
    <n v="2012"/>
    <n v="2"/>
    <s v="Trevose"/>
  </r>
  <r>
    <n v="384"/>
    <x v="382"/>
    <x v="5"/>
    <x v="5"/>
    <n v="6200000"/>
    <n v="1197.5854999999999"/>
    <x v="0"/>
    <n v="21"/>
    <n v="2"/>
    <n v="2014"/>
    <n v="1"/>
    <s v="Miami"/>
  </r>
  <r>
    <n v="385"/>
    <x v="383"/>
    <x v="34"/>
    <x v="34"/>
    <n v="12800000"/>
    <n v="1192.4063000000001"/>
    <x v="3"/>
    <n v="90"/>
    <n v="19"/>
    <n v="2014"/>
    <n v="1"/>
    <s v="Washington"/>
  </r>
  <r>
    <n v="386"/>
    <x v="384"/>
    <x v="7"/>
    <x v="7"/>
    <n v="5100000"/>
    <n v="1191.9137000000001"/>
    <x v="19"/>
    <n v="47"/>
    <n v="6"/>
    <n v="2014"/>
    <n v="1"/>
    <s v="Stafford"/>
  </r>
  <r>
    <n v="387"/>
    <x v="385"/>
    <x v="9"/>
    <x v="9"/>
    <n v="19500000"/>
    <n v="1190.6532999999999"/>
    <x v="0"/>
    <n v="122"/>
    <n v="16"/>
    <n v="2014"/>
    <n v="1"/>
    <s v="Los Angeles"/>
  </r>
  <r>
    <n v="388"/>
    <x v="386"/>
    <x v="4"/>
    <x v="4"/>
    <n v="2500000"/>
    <n v="1186.6111000000001"/>
    <x v="0"/>
    <n v="12"/>
    <n v="2"/>
    <n v="2014"/>
    <n v="1"/>
    <s v="King of Prussia"/>
  </r>
  <r>
    <n v="389"/>
    <x v="387"/>
    <x v="13"/>
    <x v="13"/>
    <n v="4800000"/>
    <n v="1183.9145000000001"/>
    <x v="17"/>
    <n v="28"/>
    <n v="16"/>
    <n v="2013"/>
    <n v="1"/>
    <s v="Atlanta"/>
  </r>
  <r>
    <n v="390"/>
    <x v="388"/>
    <x v="7"/>
    <x v="7"/>
    <n v="2900000"/>
    <n v="1180.3137999999999"/>
    <x v="16"/>
    <n v="11"/>
    <n v="2"/>
    <n v="2013"/>
    <n v="1"/>
    <s v="Sterling"/>
  </r>
  <r>
    <n v="391"/>
    <x v="389"/>
    <x v="16"/>
    <x v="16"/>
    <n v="4600000"/>
    <n v="1168.8844999999999"/>
    <x v="4"/>
    <n v="70"/>
    <n v="5"/>
    <n v="2014"/>
    <n v="1"/>
    <s v="South Salt Lake"/>
  </r>
  <r>
    <n v="392"/>
    <x v="390"/>
    <x v="1"/>
    <x v="1"/>
    <n v="2800000"/>
    <n v="1168.2828"/>
    <x v="18"/>
    <n v="12"/>
    <n v="2"/>
    <n v="2014"/>
    <n v="1"/>
    <s v="Nashville"/>
  </r>
  <r>
    <n v="393"/>
    <x v="391"/>
    <x v="6"/>
    <x v="6"/>
    <n v="4700000"/>
    <n v="1165.5447999999999"/>
    <x v="19"/>
    <n v="115"/>
    <n v="15"/>
    <n v="2012"/>
    <n v="2"/>
    <s v="Hamilton"/>
  </r>
  <r>
    <n v="394"/>
    <x v="392"/>
    <x v="10"/>
    <x v="10"/>
    <n v="2000000"/>
    <n v="1163.9585"/>
    <x v="9"/>
    <n v="24"/>
    <n v="2"/>
    <n v="2014"/>
    <n v="1"/>
    <s v="Greenwood Village"/>
  </r>
  <r>
    <n v="395"/>
    <x v="393"/>
    <x v="9"/>
    <x v="9"/>
    <n v="2900000"/>
    <n v="1156.826"/>
    <x v="9"/>
    <n v="52"/>
    <n v="10"/>
    <n v="2012"/>
    <n v="1"/>
    <s v="San Jose"/>
  </r>
  <r>
    <n v="396"/>
    <x v="394"/>
    <x v="9"/>
    <x v="9"/>
    <n v="10100000"/>
    <n v="1152.1347000000001"/>
    <x v="12"/>
    <n v="30"/>
    <n v="12"/>
    <n v="2013"/>
    <n v="2"/>
    <s v="Burlingame"/>
  </r>
  <r>
    <n v="397"/>
    <x v="395"/>
    <x v="4"/>
    <x v="4"/>
    <n v="6900000"/>
    <n v="1147.2141999999999"/>
    <x v="5"/>
    <n v="3"/>
    <n v="2"/>
    <n v="2013"/>
    <n v="1"/>
    <s v="Philadelphia"/>
  </r>
  <r>
    <n v="398"/>
    <x v="396"/>
    <x v="29"/>
    <x v="29"/>
    <n v="3000000"/>
    <n v="1146.9909"/>
    <x v="3"/>
    <n v="25"/>
    <n v="4"/>
    <n v="2012"/>
    <n v="1"/>
    <s v="Las Vegas"/>
  </r>
  <r>
    <n v="399"/>
    <x v="397"/>
    <x v="35"/>
    <x v="35"/>
    <n v="2800000"/>
    <n v="1144.3394000000001"/>
    <x v="9"/>
    <n v="7"/>
    <n v="2"/>
    <n v="2012"/>
    <n v="1"/>
    <s v="Lincoln"/>
  </r>
  <r>
    <n v="400"/>
    <x v="398"/>
    <x v="27"/>
    <x v="27"/>
    <n v="5400000"/>
    <n v="1141.9407000000001"/>
    <x v="4"/>
    <n v="5"/>
    <n v="1"/>
    <n v="2014"/>
    <n v="1"/>
    <s v="Chicago"/>
  </r>
  <r>
    <n v="401"/>
    <x v="399"/>
    <x v="40"/>
    <x v="40"/>
    <n v="15400000"/>
    <n v="1141.8701000000001"/>
    <x v="7"/>
    <n v="42"/>
    <n v="6"/>
    <n v="2014"/>
    <n v="1"/>
    <s v="Portland"/>
  </r>
  <r>
    <n v="402"/>
    <x v="400"/>
    <x v="5"/>
    <x v="5"/>
    <n v="9500000"/>
    <n v="1137.2337"/>
    <x v="11"/>
    <n v="52"/>
    <n v="8"/>
    <n v="2011"/>
    <n v="2"/>
    <s v="Miami"/>
  </r>
  <r>
    <n v="403"/>
    <x v="401"/>
    <x v="9"/>
    <x v="9"/>
    <n v="4099999.9999999995"/>
    <n v="1135.5552"/>
    <x v="23"/>
    <n v="4"/>
    <n v="1"/>
    <n v="2012"/>
    <n v="1"/>
    <s v="San Francisco"/>
  </r>
  <r>
    <n v="404"/>
    <x v="402"/>
    <x v="16"/>
    <x v="16"/>
    <n v="211200000"/>
    <n v="1133.4248"/>
    <x v="0"/>
    <n v="118"/>
    <n v="19"/>
    <n v="2013"/>
    <n v="1"/>
    <s v="Lehi"/>
  </r>
  <r>
    <n v="405"/>
    <x v="403"/>
    <x v="2"/>
    <x v="2"/>
    <n v="24000000"/>
    <n v="1130.9366"/>
    <x v="23"/>
    <n v="50"/>
    <n v="12"/>
    <n v="2005"/>
    <n v="1"/>
    <s v="San Antonio"/>
  </r>
  <r>
    <n v="406"/>
    <x v="404"/>
    <x v="2"/>
    <x v="2"/>
    <n v="32700000.000000004"/>
    <n v="1127.9387999999999"/>
    <x v="8"/>
    <n v="37"/>
    <n v="10"/>
    <n v="2012"/>
    <n v="3"/>
    <s v="Plano"/>
  </r>
  <r>
    <n v="407"/>
    <x v="405"/>
    <x v="9"/>
    <x v="9"/>
    <n v="3600000"/>
    <n v="1120.9253000000001"/>
    <x v="9"/>
    <n v="32"/>
    <n v="6"/>
    <n v="2014"/>
    <n v="1"/>
    <s v="San Francisco"/>
  </r>
  <r>
    <n v="408"/>
    <x v="406"/>
    <x v="27"/>
    <x v="27"/>
    <n v="21500000"/>
    <n v="1115.2385999999999"/>
    <x v="9"/>
    <n v="255"/>
    <n v="55"/>
    <n v="2012"/>
    <n v="1"/>
    <s v="Chicago"/>
  </r>
  <r>
    <n v="409"/>
    <x v="407"/>
    <x v="5"/>
    <x v="5"/>
    <n v="5600000"/>
    <n v="1113.4907000000001"/>
    <x v="20"/>
    <n v="10"/>
    <n v="2"/>
    <n v="2008"/>
    <n v="1"/>
    <s v="Coral Springs"/>
  </r>
  <r>
    <n v="410"/>
    <x v="408"/>
    <x v="21"/>
    <x v="21"/>
    <n v="11600000"/>
    <n v="1111.7853"/>
    <x v="5"/>
    <n v="55"/>
    <n v="5"/>
    <n v="2012"/>
    <n v="2"/>
    <s v="Rockville"/>
  </r>
  <r>
    <n v="411"/>
    <x v="409"/>
    <x v="5"/>
    <x v="5"/>
    <n v="8800000"/>
    <n v="1110.7164"/>
    <x v="19"/>
    <n v="7"/>
    <n v="6"/>
    <n v="2014"/>
    <n v="1"/>
    <s v="Tampa"/>
  </r>
  <r>
    <n v="412"/>
    <x v="410"/>
    <x v="9"/>
    <x v="9"/>
    <n v="7100000"/>
    <n v="1107.6733999999999"/>
    <x v="0"/>
    <n v="7"/>
    <n v="1"/>
    <n v="2013"/>
    <n v="1"/>
    <s v="Topanga"/>
  </r>
  <r>
    <n v="413"/>
    <x v="411"/>
    <x v="2"/>
    <x v="2"/>
    <n v="368600000"/>
    <n v="1107.0863999999999"/>
    <x v="1"/>
    <n v="614"/>
    <n v="51"/>
    <n v="2014"/>
    <n v="1"/>
    <s v="Austin"/>
  </r>
  <r>
    <n v="414"/>
    <x v="412"/>
    <x v="9"/>
    <x v="9"/>
    <n v="5500000"/>
    <n v="1106.5666000000001"/>
    <x v="1"/>
    <n v="5"/>
    <n v="4"/>
    <n v="2012"/>
    <n v="1"/>
    <s v="Cerritos"/>
  </r>
  <r>
    <n v="415"/>
    <x v="413"/>
    <x v="34"/>
    <x v="34"/>
    <n v="2800000"/>
    <n v="1103.3244"/>
    <x v="6"/>
    <n v="23"/>
    <n v="4"/>
    <n v="2015"/>
    <n v="1"/>
    <s v="Washington"/>
  </r>
  <r>
    <n v="416"/>
    <x v="414"/>
    <x v="9"/>
    <x v="9"/>
    <n v="14000000"/>
    <n v="1103.0117"/>
    <x v="0"/>
    <n v="80"/>
    <n v="12"/>
    <n v="2008"/>
    <n v="1"/>
    <s v="Marina Del Rey"/>
  </r>
  <r>
    <n v="417"/>
    <x v="415"/>
    <x v="9"/>
    <x v="9"/>
    <n v="8800000"/>
    <n v="1097.3859"/>
    <x v="0"/>
    <n v="113"/>
    <n v="23"/>
    <n v="2010"/>
    <n v="2"/>
    <s v="San Diego"/>
  </r>
  <r>
    <n v="418"/>
    <x v="416"/>
    <x v="20"/>
    <x v="20"/>
    <n v="15800000"/>
    <n v="1095.0864999999999"/>
    <x v="15"/>
    <n v="51"/>
    <n v="5"/>
    <n v="2014"/>
    <n v="1"/>
    <s v="Allegan"/>
  </r>
  <r>
    <n v="419"/>
    <x v="417"/>
    <x v="9"/>
    <x v="9"/>
    <n v="35900000"/>
    <n v="1093.3815"/>
    <x v="0"/>
    <n v="25"/>
    <n v="8"/>
    <n v="2014"/>
    <n v="2"/>
    <s v="San Diego"/>
  </r>
  <r>
    <n v="420"/>
    <x v="418"/>
    <x v="24"/>
    <x v="24"/>
    <n v="7000000"/>
    <n v="1093.3466000000001"/>
    <x v="23"/>
    <n v="65"/>
    <n v="10"/>
    <n v="2012"/>
    <n v="1"/>
    <s v="Boston"/>
  </r>
  <r>
    <n v="421"/>
    <x v="419"/>
    <x v="12"/>
    <x v="12"/>
    <n v="2800000"/>
    <n v="1093.325"/>
    <x v="18"/>
    <n v="35"/>
    <n v="3"/>
    <n v="2012"/>
    <n v="2"/>
    <s v="Brooklyn"/>
  </r>
  <r>
    <n v="422"/>
    <x v="420"/>
    <x v="40"/>
    <x v="40"/>
    <n v="2000000"/>
    <n v="1091.1066000000001"/>
    <x v="19"/>
    <n v="25"/>
    <n v="2"/>
    <n v="2014"/>
    <n v="1"/>
    <s v="Portland"/>
  </r>
  <r>
    <n v="423"/>
    <x v="421"/>
    <x v="5"/>
    <x v="5"/>
    <n v="6900000"/>
    <n v="1086.4820999999999"/>
    <x v="1"/>
    <n v="8"/>
    <n v="3"/>
    <n v="2014"/>
    <n v="1"/>
    <s v="Tampa"/>
  </r>
  <r>
    <n v="424"/>
    <x v="422"/>
    <x v="7"/>
    <x v="7"/>
    <n v="9800000"/>
    <n v="1083.1819"/>
    <x v="11"/>
    <n v="103"/>
    <n v="35"/>
    <n v="2005"/>
    <n v="1"/>
    <s v="Reston"/>
  </r>
  <r>
    <n v="425"/>
    <x v="423"/>
    <x v="9"/>
    <x v="9"/>
    <n v="6500000"/>
    <n v="1074.5554"/>
    <x v="0"/>
    <n v="38"/>
    <n v="3"/>
    <n v="2012"/>
    <n v="2"/>
    <s v="Santa Monica"/>
  </r>
  <r>
    <n v="426"/>
    <x v="424"/>
    <x v="19"/>
    <x v="19"/>
    <n v="5400000"/>
    <n v="1073.5922"/>
    <x v="13"/>
    <n v="24"/>
    <n v="4"/>
    <n v="2011"/>
    <n v="1"/>
    <s v="Milwaukee"/>
  </r>
  <r>
    <n v="427"/>
    <x v="425"/>
    <x v="2"/>
    <x v="2"/>
    <n v="374200000"/>
    <n v="1064.5360000000001"/>
    <x v="5"/>
    <n v="4572"/>
    <n v="398"/>
    <n v="2003"/>
    <n v="2"/>
    <s v="Austin"/>
  </r>
  <r>
    <n v="428"/>
    <x v="426"/>
    <x v="2"/>
    <x v="2"/>
    <n v="5900000"/>
    <n v="1056.2826"/>
    <x v="4"/>
    <n v="24"/>
    <n v="5"/>
    <n v="2013"/>
    <n v="2"/>
    <s v="AURORA"/>
  </r>
  <r>
    <n v="429"/>
    <x v="427"/>
    <x v="34"/>
    <x v="34"/>
    <n v="5200000"/>
    <n v="1052.2936999999999"/>
    <x v="16"/>
    <n v="30"/>
    <n v="15"/>
    <n v="2013"/>
    <n v="1"/>
    <s v="Washington"/>
  </r>
  <r>
    <n v="430"/>
    <x v="428"/>
    <x v="10"/>
    <x v="10"/>
    <n v="4300000"/>
    <n v="1047.1781000000001"/>
    <x v="17"/>
    <n v="13"/>
    <n v="1"/>
    <n v="2009"/>
    <n v="1"/>
    <s v="Breckenridge"/>
  </r>
  <r>
    <n v="431"/>
    <x v="429"/>
    <x v="18"/>
    <x v="18"/>
    <n v="4900000"/>
    <n v="1046.9938999999999"/>
    <x v="4"/>
    <n v="210"/>
    <n v="20"/>
    <n v="2015"/>
    <n v="1"/>
    <s v="Charlotte"/>
  </r>
  <r>
    <n v="432"/>
    <x v="430"/>
    <x v="28"/>
    <x v="28"/>
    <n v="8600000"/>
    <n v="1046.8096"/>
    <x v="24"/>
    <n v="120"/>
    <n v="15"/>
    <n v="2013"/>
    <n v="2"/>
    <s v="New Haven"/>
  </r>
  <r>
    <n v="433"/>
    <x v="431"/>
    <x v="8"/>
    <x v="8"/>
    <n v="20400000"/>
    <n v="1045.6964"/>
    <x v="18"/>
    <n v="34"/>
    <n v="12"/>
    <n v="1988"/>
    <n v="1"/>
    <s v="kent"/>
  </r>
  <r>
    <n v="434"/>
    <x v="432"/>
    <x v="9"/>
    <x v="9"/>
    <n v="13200000"/>
    <n v="1044.9640999999999"/>
    <x v="18"/>
    <n v="130"/>
    <n v="20"/>
    <n v="2011"/>
    <n v="1"/>
    <s v="San Francisco"/>
  </r>
  <r>
    <n v="435"/>
    <x v="433"/>
    <x v="7"/>
    <x v="7"/>
    <n v="38500000"/>
    <n v="1043.8893"/>
    <x v="4"/>
    <n v="125"/>
    <n v="50"/>
    <n v="2011"/>
    <n v="2"/>
    <s v="Richmond"/>
  </r>
  <r>
    <n v="436"/>
    <x v="434"/>
    <x v="7"/>
    <x v="7"/>
    <n v="21300000"/>
    <n v="1043.6166000000001"/>
    <x v="19"/>
    <n v="50"/>
    <n v="17"/>
    <n v="2011"/>
    <n v="2"/>
    <s v="Reston"/>
  </r>
  <r>
    <n v="437"/>
    <x v="435"/>
    <x v="33"/>
    <x v="33"/>
    <n v="67800000"/>
    <n v="1043.2461000000001"/>
    <x v="12"/>
    <n v="53"/>
    <n v="12"/>
    <n v="2009"/>
    <n v="4"/>
    <s v="Greenwood"/>
  </r>
  <r>
    <n v="438"/>
    <x v="436"/>
    <x v="27"/>
    <x v="27"/>
    <n v="10100000"/>
    <n v="1041.7625"/>
    <x v="1"/>
    <n v="80"/>
    <n v="3"/>
    <n v="2013"/>
    <n v="2"/>
    <s v="Chicago"/>
  </r>
  <r>
    <n v="439"/>
    <x v="437"/>
    <x v="13"/>
    <x v="13"/>
    <n v="20800000"/>
    <n v="1040.1937"/>
    <x v="6"/>
    <n v="19"/>
    <n v="8"/>
    <n v="2011"/>
    <n v="1"/>
    <s v="Evans"/>
  </r>
  <r>
    <n v="440"/>
    <x v="438"/>
    <x v="15"/>
    <x v="15"/>
    <n v="94600000"/>
    <n v="1034.8425"/>
    <x v="9"/>
    <n v="96"/>
    <n v="13"/>
    <n v="2014"/>
    <n v="2"/>
    <s v="Eagle"/>
  </r>
  <r>
    <n v="441"/>
    <x v="439"/>
    <x v="13"/>
    <x v="13"/>
    <n v="2400000"/>
    <n v="1033.3862999999999"/>
    <x v="15"/>
    <n v="5"/>
    <n v="1"/>
    <n v="2007"/>
    <n v="1"/>
    <s v="Kennesaw"/>
  </r>
  <r>
    <n v="442"/>
    <x v="440"/>
    <x v="9"/>
    <x v="9"/>
    <n v="15900000"/>
    <n v="1031.4816000000001"/>
    <x v="2"/>
    <n v="49"/>
    <n v="9"/>
    <n v="1985"/>
    <n v="2"/>
    <s v="Van Nuys"/>
  </r>
  <r>
    <n v="443"/>
    <x v="441"/>
    <x v="27"/>
    <x v="27"/>
    <n v="12700000"/>
    <n v="1031.0775000000001"/>
    <x v="19"/>
    <n v="94"/>
    <n v="2"/>
    <n v="2011"/>
    <n v="1"/>
    <s v="Alton"/>
  </r>
  <r>
    <n v="444"/>
    <x v="442"/>
    <x v="12"/>
    <x v="12"/>
    <n v="8900000"/>
    <n v="1030.5074"/>
    <x v="12"/>
    <n v="9"/>
    <n v="6"/>
    <n v="2014"/>
    <n v="1"/>
    <s v="New York"/>
  </r>
  <r>
    <n v="445"/>
    <x v="443"/>
    <x v="9"/>
    <x v="9"/>
    <n v="4099999.9999999995"/>
    <n v="1022.9622000000001"/>
    <x v="15"/>
    <n v="8"/>
    <n v="1"/>
    <n v="2015"/>
    <n v="1"/>
    <s v="San Francisco"/>
  </r>
  <r>
    <n v="446"/>
    <x v="444"/>
    <x v="40"/>
    <x v="40"/>
    <n v="3000000"/>
    <n v="1021.1287"/>
    <x v="0"/>
    <n v="45"/>
    <n v="4"/>
    <n v="2013"/>
    <n v="1"/>
    <s v="Portland"/>
  </r>
  <r>
    <n v="447"/>
    <x v="445"/>
    <x v="27"/>
    <x v="27"/>
    <n v="22300000"/>
    <n v="1018.1919"/>
    <x v="2"/>
    <n v="18"/>
    <n v="8"/>
    <n v="2013"/>
    <n v="3"/>
    <s v="Batavia"/>
  </r>
  <r>
    <n v="448"/>
    <x v="446"/>
    <x v="9"/>
    <x v="9"/>
    <n v="31400000"/>
    <n v="1014.7548"/>
    <x v="9"/>
    <n v="238"/>
    <n v="43"/>
    <n v="2012"/>
    <n v="2"/>
    <s v="San Francisco"/>
  </r>
  <r>
    <n v="449"/>
    <x v="447"/>
    <x v="20"/>
    <x v="20"/>
    <n v="74300000"/>
    <n v="1013.1064"/>
    <x v="5"/>
    <n v="163"/>
    <n v="53"/>
    <n v="1984"/>
    <n v="4"/>
    <s v="Livonia"/>
  </r>
  <r>
    <n v="450"/>
    <x v="448"/>
    <x v="18"/>
    <x v="18"/>
    <n v="3900000"/>
    <n v="1006.828"/>
    <x v="1"/>
    <n v="5"/>
    <n v="5"/>
    <n v="2013"/>
    <n v="1"/>
    <s v="Emerald Isle"/>
  </r>
  <r>
    <n v="451"/>
    <x v="449"/>
    <x v="21"/>
    <x v="21"/>
    <n v="5900000"/>
    <n v="1002.4813"/>
    <x v="11"/>
    <n v="70"/>
    <n v="6"/>
    <n v="2010"/>
    <n v="1"/>
    <s v="Silver Spring"/>
  </r>
  <r>
    <n v="452"/>
    <x v="450"/>
    <x v="41"/>
    <x v="41"/>
    <n v="45100000"/>
    <n v="1002.0531999999999"/>
    <x v="23"/>
    <n v="2000"/>
    <n v="400"/>
    <n v="2015"/>
    <n v="1"/>
    <s v="Iowa City"/>
  </r>
  <r>
    <n v="453"/>
    <x v="451"/>
    <x v="7"/>
    <x v="7"/>
    <n v="2700000"/>
    <n v="1001.6224"/>
    <x v="12"/>
    <n v="45"/>
    <n v="8"/>
    <n v="2014"/>
    <n v="2"/>
    <s v="Virginia Beach"/>
  </r>
  <r>
    <n v="454"/>
    <x v="452"/>
    <x v="38"/>
    <x v="38"/>
    <n v="18600000"/>
    <n v="998.02930000000003"/>
    <x v="21"/>
    <n v="180"/>
    <n v="30"/>
    <n v="2013"/>
    <n v="2"/>
    <s v="Please Select"/>
  </r>
  <r>
    <n v="455"/>
    <x v="453"/>
    <x v="9"/>
    <x v="9"/>
    <n v="159700000"/>
    <n v="996.02279999999996"/>
    <x v="3"/>
    <n v="77"/>
    <n v="47"/>
    <n v="2013"/>
    <n v="3"/>
    <s v="San Francisco"/>
  </r>
  <r>
    <n v="456"/>
    <x v="454"/>
    <x v="9"/>
    <x v="9"/>
    <n v="4400000"/>
    <n v="992.66470000000004"/>
    <x v="4"/>
    <n v="45"/>
    <n v="3"/>
    <n v="2014"/>
    <n v="2"/>
    <s v="Tustin"/>
  </r>
  <r>
    <n v="457"/>
    <x v="455"/>
    <x v="27"/>
    <x v="27"/>
    <n v="29800000"/>
    <n v="987.19370000000004"/>
    <x v="24"/>
    <n v="295"/>
    <n v="52"/>
    <n v="2014"/>
    <n v="1"/>
    <s v="Schaumberg"/>
  </r>
  <r>
    <n v="458"/>
    <x v="456"/>
    <x v="9"/>
    <x v="9"/>
    <n v="3600000"/>
    <n v="987.04240000000004"/>
    <x v="4"/>
    <n v="8"/>
    <n v="4"/>
    <n v="2011"/>
    <n v="1"/>
    <s v="SAN GABRIEL"/>
  </r>
  <r>
    <n v="459"/>
    <x v="457"/>
    <x v="5"/>
    <x v="5"/>
    <n v="11300000"/>
    <n v="986.3578"/>
    <x v="4"/>
    <n v="20"/>
    <n v="2"/>
    <n v="2013"/>
    <n v="2"/>
    <s v="Miami"/>
  </r>
  <r>
    <n v="460"/>
    <x v="458"/>
    <x v="25"/>
    <x v="25"/>
    <n v="7800000"/>
    <n v="983.45209999999997"/>
    <x v="13"/>
    <n v="39"/>
    <n v="2"/>
    <n v="2015"/>
    <n v="1"/>
    <s v="Brunswick"/>
  </r>
  <r>
    <n v="461"/>
    <x v="459"/>
    <x v="42"/>
    <x v="42"/>
    <n v="2800000"/>
    <n v="980.62800000000004"/>
    <x v="4"/>
    <n v="6"/>
    <n v="2"/>
    <n v="2015"/>
    <n v="1"/>
    <s v="Edmond"/>
  </r>
  <r>
    <n v="462"/>
    <x v="460"/>
    <x v="7"/>
    <x v="7"/>
    <n v="3200000"/>
    <n v="976.76110000000006"/>
    <x v="11"/>
    <n v="15"/>
    <n v="11"/>
    <n v="2005"/>
    <n v="2"/>
    <s v="Leesburg"/>
  </r>
  <r>
    <n v="463"/>
    <x v="461"/>
    <x v="5"/>
    <x v="5"/>
    <n v="18800000"/>
    <n v="971.01400000000001"/>
    <x v="0"/>
    <n v="26"/>
    <n v="15"/>
    <n v="2009"/>
    <n v="3"/>
    <s v="Tampa"/>
  </r>
  <r>
    <n v="464"/>
    <x v="462"/>
    <x v="2"/>
    <x v="2"/>
    <n v="7500000"/>
    <n v="967.57129999999995"/>
    <x v="7"/>
    <n v="48"/>
    <n v="6"/>
    <n v="1909"/>
    <n v="1"/>
    <s v="Dallas"/>
  </r>
  <r>
    <n v="465"/>
    <x v="463"/>
    <x v="2"/>
    <x v="2"/>
    <n v="14200000"/>
    <n v="967.26829999999995"/>
    <x v="1"/>
    <n v="103"/>
    <n v="27"/>
    <n v="2013"/>
    <n v="1"/>
    <s v="Dallas"/>
  </r>
  <r>
    <n v="466"/>
    <x v="464"/>
    <x v="33"/>
    <x v="33"/>
    <n v="17400000"/>
    <n v="966.44240000000002"/>
    <x v="0"/>
    <n v="36"/>
    <n v="13"/>
    <n v="2006"/>
    <n v="1"/>
    <s v="Indianapolis"/>
  </r>
  <r>
    <n v="467"/>
    <x v="465"/>
    <x v="21"/>
    <x v="21"/>
    <n v="5800000"/>
    <n v="966.17039999999997"/>
    <x v="18"/>
    <n v="20"/>
    <n v="4"/>
    <n v="2014"/>
    <n v="1"/>
    <s v="Perry Hall"/>
  </r>
  <r>
    <n v="468"/>
    <x v="466"/>
    <x v="9"/>
    <x v="9"/>
    <n v="4500000"/>
    <n v="965.33910000000003"/>
    <x v="0"/>
    <n v="46"/>
    <n v="8"/>
    <n v="2014"/>
    <n v="1"/>
    <s v="Irvine"/>
  </r>
  <r>
    <n v="469"/>
    <x v="467"/>
    <x v="2"/>
    <x v="2"/>
    <n v="52300000"/>
    <n v="957.65920000000006"/>
    <x v="9"/>
    <n v="397"/>
    <n v="155"/>
    <n v="2009"/>
    <n v="3"/>
    <s v="Plano"/>
  </r>
  <r>
    <n v="470"/>
    <x v="468"/>
    <x v="10"/>
    <x v="10"/>
    <n v="40000000"/>
    <n v="957.06209999999999"/>
    <x v="1"/>
    <n v="170"/>
    <n v="35"/>
    <n v="2009"/>
    <n v="1"/>
    <s v="Denver"/>
  </r>
  <r>
    <n v="471"/>
    <x v="469"/>
    <x v="2"/>
    <x v="2"/>
    <n v="42900000"/>
    <n v="956.40930000000003"/>
    <x v="5"/>
    <n v="50"/>
    <n v="16"/>
    <n v="2013"/>
    <n v="1"/>
    <s v="Wylie"/>
  </r>
  <r>
    <n v="472"/>
    <x v="470"/>
    <x v="7"/>
    <x v="7"/>
    <n v="11600000"/>
    <n v="955.40260000000001"/>
    <x v="12"/>
    <n v="87"/>
    <n v="14"/>
    <n v="2012"/>
    <n v="2"/>
    <s v="LEESBURG"/>
  </r>
  <r>
    <n v="473"/>
    <x v="471"/>
    <x v="11"/>
    <x v="11"/>
    <n v="2000000"/>
    <n v="947.21199999999999"/>
    <x v="23"/>
    <n v="34"/>
    <n v="4"/>
    <n v="2012"/>
    <n v="1"/>
    <s v="Gig Harbor"/>
  </r>
  <r>
    <n v="474"/>
    <x v="472"/>
    <x v="12"/>
    <x v="12"/>
    <n v="7100000"/>
    <n v="946.60699999999997"/>
    <x v="0"/>
    <n v="77"/>
    <n v="8"/>
    <n v="2011"/>
    <n v="2"/>
    <s v="New York"/>
  </r>
  <r>
    <n v="475"/>
    <x v="473"/>
    <x v="13"/>
    <x v="13"/>
    <n v="2000000"/>
    <n v="935.03480000000002"/>
    <x v="23"/>
    <n v="5"/>
    <n v="13"/>
    <n v="2001"/>
    <n v="1"/>
    <s v="Alpharetta"/>
  </r>
  <r>
    <n v="476"/>
    <x v="474"/>
    <x v="33"/>
    <x v="33"/>
    <n v="30100000"/>
    <n v="926.89530000000002"/>
    <x v="23"/>
    <n v="80"/>
    <n v="14"/>
    <n v="2014"/>
    <n v="1"/>
    <s v="Fishers"/>
  </r>
  <r>
    <n v="477"/>
    <x v="475"/>
    <x v="2"/>
    <x v="2"/>
    <n v="3000000"/>
    <n v="924.44410000000005"/>
    <x v="9"/>
    <n v="21"/>
    <n v="3"/>
    <n v="2014"/>
    <n v="1"/>
    <s v="Dallas"/>
  </r>
  <r>
    <n v="478"/>
    <x v="476"/>
    <x v="9"/>
    <x v="9"/>
    <n v="7700000"/>
    <n v="922.49779999999998"/>
    <x v="7"/>
    <n v="13"/>
    <n v="6"/>
    <n v="2012"/>
    <n v="2"/>
    <s v="Walnut Creek"/>
  </r>
  <r>
    <n v="479"/>
    <x v="477"/>
    <x v="9"/>
    <x v="9"/>
    <n v="22100000"/>
    <n v="916.09939999999995"/>
    <x v="0"/>
    <n v="65"/>
    <n v="5"/>
    <n v="2013"/>
    <n v="2"/>
    <s v="Pasadena"/>
  </r>
  <r>
    <n v="480"/>
    <x v="478"/>
    <x v="5"/>
    <x v="5"/>
    <n v="2500000"/>
    <n v="916.06700000000001"/>
    <x v="9"/>
    <n v="75"/>
    <n v="20"/>
    <n v="2003"/>
    <n v="1"/>
    <s v="Aventura"/>
  </r>
  <r>
    <n v="481"/>
    <x v="479"/>
    <x v="41"/>
    <x v="41"/>
    <n v="2300000"/>
    <n v="913.73509999999999"/>
    <x v="9"/>
    <n v="20"/>
    <n v="3"/>
    <n v="2013"/>
    <n v="1"/>
    <s v="Des Moines"/>
  </r>
  <r>
    <n v="482"/>
    <x v="480"/>
    <x v="10"/>
    <x v="10"/>
    <n v="2500000"/>
    <n v="912.01350000000002"/>
    <x v="9"/>
    <n v="21"/>
    <n v="10"/>
    <n v="2013"/>
    <n v="1"/>
    <s v="Boulder"/>
  </r>
  <r>
    <n v="483"/>
    <x v="481"/>
    <x v="1"/>
    <x v="1"/>
    <n v="31300000"/>
    <n v="910.9692"/>
    <x v="1"/>
    <n v="51"/>
    <n v="6"/>
    <n v="2013"/>
    <n v="2"/>
    <s v="Chattanooga"/>
  </r>
  <r>
    <n v="484"/>
    <x v="482"/>
    <x v="7"/>
    <x v="7"/>
    <n v="3500000"/>
    <n v="904.62059999999997"/>
    <x v="11"/>
    <n v="20"/>
    <n v="2"/>
    <n v="2004"/>
    <n v="2"/>
    <s v="Arlington"/>
  </r>
  <r>
    <n v="485"/>
    <x v="483"/>
    <x v="6"/>
    <x v="6"/>
    <n v="7200000"/>
    <n v="904.37109999999996"/>
    <x v="2"/>
    <n v="8"/>
    <n v="5"/>
    <n v="2013"/>
    <n v="2"/>
    <s v="Belleville"/>
  </r>
  <r>
    <n v="486"/>
    <x v="484"/>
    <x v="9"/>
    <x v="9"/>
    <n v="59400000"/>
    <n v="903.18910000000005"/>
    <x v="9"/>
    <n v="574"/>
    <n v="85"/>
    <n v="2012"/>
    <n v="1"/>
    <s v="Glendale"/>
  </r>
  <r>
    <n v="487"/>
    <x v="485"/>
    <x v="24"/>
    <x v="24"/>
    <n v="78600000"/>
    <n v="902.20129999999995"/>
    <x v="10"/>
    <n v="90"/>
    <n v="34"/>
    <n v="2010"/>
    <n v="3"/>
    <s v="Boston"/>
  </r>
  <r>
    <n v="488"/>
    <x v="486"/>
    <x v="37"/>
    <x v="37"/>
    <n v="11400000"/>
    <n v="900.69560000000001"/>
    <x v="7"/>
    <n v="61"/>
    <n v="19"/>
    <n v="2015"/>
    <n v="2"/>
    <s v="Columbia"/>
  </r>
  <r>
    <n v="489"/>
    <x v="487"/>
    <x v="18"/>
    <x v="18"/>
    <n v="5400000"/>
    <n v="900.46130000000005"/>
    <x v="13"/>
    <n v="7"/>
    <n v="2"/>
    <n v="2009"/>
    <n v="2"/>
    <s v="Gastonia"/>
  </r>
  <r>
    <n v="490"/>
    <x v="488"/>
    <x v="10"/>
    <x v="10"/>
    <n v="45400000"/>
    <n v="896.67610000000002"/>
    <x v="10"/>
    <n v="78"/>
    <n v="25"/>
    <n v="2011"/>
    <n v="2"/>
    <s v="Boulder"/>
  </r>
  <r>
    <n v="491"/>
    <x v="489"/>
    <x v="21"/>
    <x v="21"/>
    <n v="52400000"/>
    <n v="895.32730000000004"/>
    <x v="10"/>
    <n v="17"/>
    <n v="5"/>
    <n v="2013"/>
    <n v="1"/>
    <s v="Annapolis"/>
  </r>
  <r>
    <n v="492"/>
    <x v="490"/>
    <x v="5"/>
    <x v="5"/>
    <n v="5400000"/>
    <n v="894.68119999999999"/>
    <x v="4"/>
    <n v="30"/>
    <n v="6"/>
    <n v="2012"/>
    <n v="2"/>
    <s v="Mount Dora"/>
  </r>
  <r>
    <n v="493"/>
    <x v="491"/>
    <x v="10"/>
    <x v="10"/>
    <n v="5300000"/>
    <n v="893.62699999999995"/>
    <x v="2"/>
    <n v="36"/>
    <n v="12"/>
    <n v="2013"/>
    <n v="1"/>
    <s v="Denver"/>
  </r>
  <r>
    <n v="494"/>
    <x v="492"/>
    <x v="4"/>
    <x v="4"/>
    <n v="18400000"/>
    <n v="890.89459999999997"/>
    <x v="15"/>
    <n v="28"/>
    <n v="5"/>
    <n v="2009"/>
    <n v="3"/>
    <s v="Philadelphia"/>
  </r>
  <r>
    <n v="495"/>
    <x v="493"/>
    <x v="9"/>
    <x v="9"/>
    <n v="2200000"/>
    <n v="889.64340000000004"/>
    <x v="5"/>
    <n v="37"/>
    <n v="2"/>
    <n v="2014"/>
    <n v="1"/>
    <s v="Goleta"/>
  </r>
  <r>
    <n v="496"/>
    <x v="494"/>
    <x v="11"/>
    <x v="11"/>
    <n v="2900000"/>
    <n v="886.84109999999998"/>
    <x v="12"/>
    <n v="6"/>
    <n v="2"/>
    <n v="2015"/>
    <n v="1"/>
    <s v="Seattle"/>
  </r>
  <r>
    <n v="497"/>
    <x v="495"/>
    <x v="13"/>
    <x v="13"/>
    <n v="21300000"/>
    <n v="871.3972"/>
    <x v="23"/>
    <n v="97"/>
    <n v="10"/>
    <n v="2013"/>
    <n v="3"/>
    <s v="Atlanta"/>
  </r>
  <r>
    <n v="498"/>
    <x v="496"/>
    <x v="7"/>
    <x v="7"/>
    <n v="5100000"/>
    <n v="870.54570000000001"/>
    <x v="19"/>
    <n v="28"/>
    <n v="2"/>
    <n v="2010"/>
    <n v="1"/>
    <s v="Mclean"/>
  </r>
  <r>
    <n v="499"/>
    <x v="497"/>
    <x v="2"/>
    <x v="2"/>
    <n v="4900000"/>
    <n v="870.47739999999999"/>
    <x v="6"/>
    <n v="15"/>
    <n v="2"/>
    <n v="2010"/>
    <n v="1"/>
    <s v="Houston"/>
  </r>
  <r>
    <n v="500"/>
    <x v="498"/>
    <x v="12"/>
    <x v="12"/>
    <n v="8000000"/>
    <n v="869.74900000000002"/>
    <x v="7"/>
    <n v="70"/>
    <n v="45"/>
    <n v="2003"/>
    <n v="1"/>
    <s v="New York"/>
  </r>
  <r>
    <n v="501"/>
    <x v="499"/>
    <x v="4"/>
    <x v="4"/>
    <n v="12300000"/>
    <n v="868.61"/>
    <x v="6"/>
    <n v="45"/>
    <n v="6"/>
    <n v="2005"/>
    <n v="1"/>
    <s v="Plymouth Meeting"/>
  </r>
  <r>
    <n v="502"/>
    <x v="500"/>
    <x v="9"/>
    <x v="9"/>
    <n v="4700000"/>
    <n v="868.2749"/>
    <x v="5"/>
    <n v="40"/>
    <n v="3"/>
    <n v="2014"/>
    <n v="1"/>
    <s v="San Francisco"/>
  </r>
  <r>
    <n v="503"/>
    <x v="501"/>
    <x v="19"/>
    <x v="19"/>
    <n v="3500000"/>
    <n v="865.79769999999996"/>
    <x v="9"/>
    <n v="11"/>
    <n v="3"/>
    <n v="2008"/>
    <n v="1"/>
    <s v="HOLMEN"/>
  </r>
  <r>
    <n v="504"/>
    <x v="502"/>
    <x v="39"/>
    <x v="39"/>
    <n v="8500000"/>
    <n v="864.79470000000003"/>
    <x v="0"/>
    <n v="30"/>
    <n v="10"/>
    <n v="2015"/>
    <n v="1"/>
    <s v="San Juan"/>
  </r>
  <r>
    <n v="505"/>
    <x v="503"/>
    <x v="22"/>
    <x v="22"/>
    <n v="18100000"/>
    <n v="864.29809999999998"/>
    <x v="4"/>
    <n v="30"/>
    <n v="2"/>
    <n v="2008"/>
    <n v="3"/>
    <s v="Blaine"/>
  </r>
  <r>
    <n v="506"/>
    <x v="504"/>
    <x v="9"/>
    <x v="9"/>
    <n v="9000000"/>
    <n v="863.23569999999995"/>
    <x v="5"/>
    <n v="150"/>
    <n v="25"/>
    <n v="2007"/>
    <n v="3"/>
    <s v="Santa Clarita"/>
  </r>
  <r>
    <n v="507"/>
    <x v="505"/>
    <x v="4"/>
    <x v="4"/>
    <n v="10700000"/>
    <n v="861.24959999999999"/>
    <x v="13"/>
    <n v="54"/>
    <n v="1"/>
    <n v="2011"/>
    <n v="3"/>
    <s v="Sewickley"/>
  </r>
  <r>
    <n v="508"/>
    <x v="506"/>
    <x v="10"/>
    <x v="10"/>
    <n v="84300000"/>
    <n v="857.53120000000001"/>
    <x v="16"/>
    <n v="440"/>
    <n v="190"/>
    <n v="2006"/>
    <n v="2"/>
    <s v="Westminster"/>
  </r>
  <r>
    <n v="509"/>
    <x v="507"/>
    <x v="38"/>
    <x v="38"/>
    <n v="10300000"/>
    <n v="856.82780000000002"/>
    <x v="13"/>
    <n v="75"/>
    <n v="6"/>
    <n v="2015"/>
    <n v="1"/>
    <s v="Brossard"/>
  </r>
  <r>
    <n v="510"/>
    <x v="508"/>
    <x v="27"/>
    <x v="27"/>
    <n v="2100000"/>
    <n v="855.36649999999997"/>
    <x v="23"/>
    <n v="12"/>
    <n v="4"/>
    <n v="2011"/>
    <n v="1"/>
    <s v="Bloomingdale"/>
  </r>
  <r>
    <n v="511"/>
    <x v="509"/>
    <x v="6"/>
    <x v="6"/>
    <n v="16200000"/>
    <n v="854.55550000000005"/>
    <x v="5"/>
    <n v="80"/>
    <n v="25"/>
    <n v="2014"/>
    <n v="1"/>
    <s v="South Plainfield"/>
  </r>
  <r>
    <n v="512"/>
    <x v="510"/>
    <x v="11"/>
    <x v="11"/>
    <n v="27200000"/>
    <n v="854.08439999999996"/>
    <x v="12"/>
    <n v="738"/>
    <n v="125"/>
    <n v="2005"/>
    <n v="4"/>
    <s v="Spokane"/>
  </r>
  <r>
    <n v="513"/>
    <x v="511"/>
    <x v="27"/>
    <x v="27"/>
    <n v="2200000"/>
    <n v="852.85599999999999"/>
    <x v="3"/>
    <n v="9"/>
    <n v="1"/>
    <n v="2013"/>
    <n v="1"/>
    <s v="Chicago"/>
  </r>
  <r>
    <n v="514"/>
    <x v="512"/>
    <x v="9"/>
    <x v="9"/>
    <n v="2400000"/>
    <n v="852.23490000000004"/>
    <x v="9"/>
    <n v="16"/>
    <n v="2"/>
    <n v="2014"/>
    <n v="1"/>
    <s v="San Diego"/>
  </r>
  <r>
    <n v="515"/>
    <x v="513"/>
    <x v="34"/>
    <x v="34"/>
    <n v="8700000"/>
    <n v="850.24220000000003"/>
    <x v="11"/>
    <n v="68"/>
    <n v="15"/>
    <n v="2011"/>
    <n v="1"/>
    <s v="Washington"/>
  </r>
  <r>
    <n v="516"/>
    <x v="514"/>
    <x v="7"/>
    <x v="7"/>
    <n v="6100000"/>
    <n v="850.19889999999998"/>
    <x v="23"/>
    <n v="30"/>
    <n v="3"/>
    <n v="2012"/>
    <n v="1"/>
    <s v="Richmond"/>
  </r>
  <r>
    <n v="517"/>
    <x v="515"/>
    <x v="2"/>
    <x v="2"/>
    <n v="16300000"/>
    <n v="847.94529999999997"/>
    <x v="15"/>
    <n v="23"/>
    <n v="6"/>
    <n v="2009"/>
    <n v="3"/>
    <s v="Stafford"/>
  </r>
  <r>
    <n v="518"/>
    <x v="516"/>
    <x v="7"/>
    <x v="7"/>
    <n v="3800000"/>
    <n v="845.46169999999995"/>
    <x v="3"/>
    <n v="15"/>
    <n v="4"/>
    <n v="2015"/>
    <n v="1"/>
    <s v="COLONIAL HEIGHTS"/>
  </r>
  <r>
    <n v="519"/>
    <x v="517"/>
    <x v="21"/>
    <x v="21"/>
    <n v="12600000"/>
    <n v="844.43320000000006"/>
    <x v="11"/>
    <n v="91"/>
    <n v="5"/>
    <n v="2005"/>
    <n v="2"/>
    <s v="Annapolis Junction"/>
  </r>
  <r>
    <n v="520"/>
    <x v="518"/>
    <x v="32"/>
    <x v="32"/>
    <n v="9700000"/>
    <n v="843.09760000000006"/>
    <x v="1"/>
    <n v="60"/>
    <n v="5"/>
    <n v="2014"/>
    <n v="1"/>
    <s v="ST LOUIS"/>
  </r>
  <r>
    <n v="521"/>
    <x v="519"/>
    <x v="2"/>
    <x v="2"/>
    <n v="21300000"/>
    <n v="842.39049999999997"/>
    <x v="24"/>
    <n v="107"/>
    <n v="9"/>
    <n v="2012"/>
    <n v="3"/>
    <s v="Keller"/>
  </r>
  <r>
    <n v="522"/>
    <x v="520"/>
    <x v="0"/>
    <x v="0"/>
    <n v="6600000"/>
    <n v="837.09010000000001"/>
    <x v="13"/>
    <n v="12"/>
    <n v="3"/>
    <n v="2012"/>
    <n v="2"/>
    <s v="Tucson"/>
  </r>
  <r>
    <n v="523"/>
    <x v="521"/>
    <x v="24"/>
    <x v="24"/>
    <n v="2500000"/>
    <n v="836.24120000000005"/>
    <x v="11"/>
    <n v="51"/>
    <n v="8"/>
    <n v="2013"/>
    <n v="1"/>
    <s v="Bedford"/>
  </r>
  <r>
    <n v="524"/>
    <x v="522"/>
    <x v="12"/>
    <x v="12"/>
    <n v="17500000"/>
    <n v="833.85770000000002"/>
    <x v="5"/>
    <n v="27"/>
    <n v="6"/>
    <n v="2015"/>
    <n v="1"/>
    <s v="Bayside"/>
  </r>
  <r>
    <n v="525"/>
    <x v="523"/>
    <x v="18"/>
    <x v="18"/>
    <n v="492500000"/>
    <n v="831.31809999999996"/>
    <x v="11"/>
    <n v="37"/>
    <n v="80"/>
    <n v="2001"/>
    <n v="2"/>
    <s v="Aberdeen"/>
  </r>
  <r>
    <n v="526"/>
    <x v="524"/>
    <x v="12"/>
    <x v="12"/>
    <n v="6000000"/>
    <n v="829.62040000000002"/>
    <x v="0"/>
    <n v="149"/>
    <n v="28"/>
    <n v="2013"/>
    <n v="1"/>
    <s v="New York"/>
  </r>
  <r>
    <n v="527"/>
    <x v="525"/>
    <x v="9"/>
    <x v="9"/>
    <n v="4500000"/>
    <n v="828.26499999999999"/>
    <x v="3"/>
    <n v="30"/>
    <n v="4"/>
    <n v="2011"/>
    <n v="1"/>
    <s v="San Diego"/>
  </r>
  <r>
    <n v="528"/>
    <x v="526"/>
    <x v="12"/>
    <x v="12"/>
    <n v="9500000"/>
    <n v="828.03150000000005"/>
    <x v="9"/>
    <n v="29"/>
    <n v="3"/>
    <n v="2009"/>
    <n v="2"/>
    <s v="Brooklyn"/>
  </r>
  <r>
    <n v="529"/>
    <x v="527"/>
    <x v="32"/>
    <x v="32"/>
    <n v="4800000"/>
    <n v="827.66499999999996"/>
    <x v="3"/>
    <n v="36"/>
    <n v="5"/>
    <n v="2014"/>
    <n v="2"/>
    <s v="Liberty"/>
  </r>
  <r>
    <n v="530"/>
    <x v="528"/>
    <x v="2"/>
    <x v="2"/>
    <n v="3000000"/>
    <n v="825.99469999999997"/>
    <x v="16"/>
    <n v="27"/>
    <n v="3"/>
    <n v="2012"/>
    <n v="1"/>
    <s v="Plano"/>
  </r>
  <r>
    <n v="531"/>
    <x v="529"/>
    <x v="7"/>
    <x v="7"/>
    <n v="2200000"/>
    <n v="823.92949999999996"/>
    <x v="4"/>
    <n v="12"/>
    <n v="2"/>
    <n v="2014"/>
    <n v="1"/>
    <s v="Colonial Beach"/>
  </r>
  <r>
    <n v="532"/>
    <x v="530"/>
    <x v="9"/>
    <x v="9"/>
    <n v="4500000"/>
    <n v="819.83360000000005"/>
    <x v="2"/>
    <n v="10"/>
    <n v="2"/>
    <n v="2014"/>
    <n v="2"/>
    <s v="Oakland"/>
  </r>
  <r>
    <n v="533"/>
    <x v="531"/>
    <x v="10"/>
    <x v="10"/>
    <n v="15300000"/>
    <n v="818.43129999999996"/>
    <x v="5"/>
    <n v="250"/>
    <n v="35"/>
    <n v="2004"/>
    <n v="3"/>
    <s v="Littleton"/>
  </r>
  <r>
    <n v="534"/>
    <x v="532"/>
    <x v="9"/>
    <x v="9"/>
    <n v="2900000"/>
    <n v="817.2645"/>
    <x v="9"/>
    <n v="20"/>
    <n v="46"/>
    <n v="2012"/>
    <n v="2"/>
    <s v="San Jose"/>
  </r>
  <r>
    <n v="535"/>
    <x v="533"/>
    <x v="13"/>
    <x v="13"/>
    <n v="7900000"/>
    <n v="816.74850000000004"/>
    <x v="3"/>
    <n v="25"/>
    <n v="5"/>
    <n v="2013"/>
    <n v="2"/>
    <s v="Atlanta"/>
  </r>
  <r>
    <n v="536"/>
    <x v="534"/>
    <x v="8"/>
    <x v="8"/>
    <n v="53500000"/>
    <n v="816.45439999999996"/>
    <x v="23"/>
    <n v="33"/>
    <n v="9"/>
    <n v="2013"/>
    <n v="2"/>
    <s v="Dublin"/>
  </r>
  <r>
    <n v="537"/>
    <x v="535"/>
    <x v="9"/>
    <x v="9"/>
    <n v="13600000"/>
    <n v="816.39229999999998"/>
    <x v="1"/>
    <n v="39"/>
    <n v="11"/>
    <n v="2013"/>
    <n v="1"/>
    <s v="Poway"/>
  </r>
  <r>
    <n v="538"/>
    <x v="536"/>
    <x v="13"/>
    <x v="13"/>
    <n v="19000000"/>
    <n v="815.70219999999995"/>
    <x v="11"/>
    <n v="210"/>
    <n v="20"/>
    <n v="2014"/>
    <n v="1"/>
    <s v="Atlanta"/>
  </r>
  <r>
    <n v="539"/>
    <x v="537"/>
    <x v="29"/>
    <x v="29"/>
    <n v="4700000"/>
    <n v="815.15150000000006"/>
    <x v="19"/>
    <n v="13"/>
    <n v="3"/>
    <n v="2014"/>
    <n v="1"/>
    <s v="Henderson"/>
  </r>
  <r>
    <n v="540"/>
    <x v="538"/>
    <x v="40"/>
    <x v="40"/>
    <n v="2400000"/>
    <n v="814.31399999999996"/>
    <x v="23"/>
    <n v="18"/>
    <n v="7"/>
    <n v="2010"/>
    <n v="1"/>
    <s v="Tigard"/>
  </r>
  <r>
    <n v="541"/>
    <x v="539"/>
    <x v="20"/>
    <x v="20"/>
    <n v="8100000"/>
    <n v="813.06470000000002"/>
    <x v="11"/>
    <n v="13"/>
    <n v="5"/>
    <n v="2009"/>
    <n v="2"/>
    <s v="PORTAGE"/>
  </r>
  <r>
    <n v="542"/>
    <x v="540"/>
    <x v="32"/>
    <x v="32"/>
    <n v="2000000"/>
    <n v="812.00609999999995"/>
    <x v="0"/>
    <n v="15"/>
    <n v="1"/>
    <n v="2015"/>
    <n v="1"/>
    <s v="Kansas City"/>
  </r>
  <r>
    <n v="543"/>
    <x v="541"/>
    <x v="2"/>
    <x v="2"/>
    <n v="171800000"/>
    <n v="810.92930000000001"/>
    <x v="12"/>
    <n v="500"/>
    <n v="35"/>
    <n v="2014"/>
    <n v="2"/>
    <s v="Houston"/>
  </r>
  <r>
    <n v="544"/>
    <x v="542"/>
    <x v="12"/>
    <x v="12"/>
    <n v="31600000"/>
    <n v="810.5992"/>
    <x v="3"/>
    <n v="23"/>
    <n v="8"/>
    <n v="2009"/>
    <n v="6"/>
    <s v="New York"/>
  </r>
  <r>
    <n v="545"/>
    <x v="543"/>
    <x v="4"/>
    <x v="4"/>
    <n v="8199999.9999999991"/>
    <n v="810.34349999999995"/>
    <x v="9"/>
    <n v="46"/>
    <n v="8"/>
    <n v="2012"/>
    <n v="2"/>
    <s v="Lancaster"/>
  </r>
  <r>
    <n v="546"/>
    <x v="544"/>
    <x v="14"/>
    <x v="14"/>
    <n v="7300000"/>
    <n v="809.88969999999995"/>
    <x v="10"/>
    <n v="10"/>
    <n v="3"/>
    <n v="2014"/>
    <n v="1"/>
    <s v="Louisville"/>
  </r>
  <r>
    <n v="547"/>
    <x v="545"/>
    <x v="12"/>
    <x v="12"/>
    <n v="6200000"/>
    <n v="809.77949999999998"/>
    <x v="1"/>
    <n v="35"/>
    <n v="5"/>
    <n v="2014"/>
    <n v="1"/>
    <s v="Buffalo"/>
  </r>
  <r>
    <n v="548"/>
    <x v="546"/>
    <x v="34"/>
    <x v="34"/>
    <n v="10700000"/>
    <n v="809.24149999999997"/>
    <x v="11"/>
    <n v="43"/>
    <n v="8"/>
    <n v="2009"/>
    <n v="2"/>
    <s v="Washington"/>
  </r>
  <r>
    <n v="549"/>
    <x v="547"/>
    <x v="5"/>
    <x v="5"/>
    <n v="5500000"/>
    <n v="808.52480000000003"/>
    <x v="22"/>
    <n v="28"/>
    <n v="6"/>
    <n v="2014"/>
    <n v="2"/>
    <s v="Clearwater"/>
  </r>
  <r>
    <n v="550"/>
    <x v="548"/>
    <x v="29"/>
    <x v="29"/>
    <n v="37600000"/>
    <n v="808.48090000000002"/>
    <x v="23"/>
    <n v="316"/>
    <n v="233"/>
    <n v="2013"/>
    <n v="2"/>
    <s v="Henderson"/>
  </r>
  <r>
    <n v="551"/>
    <x v="549"/>
    <x v="27"/>
    <x v="27"/>
    <n v="7500000"/>
    <n v="807.77409999999998"/>
    <x v="15"/>
    <n v="18"/>
    <n v="6"/>
    <n v="2014"/>
    <n v="1"/>
    <s v="Lombard"/>
  </r>
  <r>
    <n v="552"/>
    <x v="550"/>
    <x v="9"/>
    <x v="9"/>
    <n v="11000000"/>
    <n v="805.07410000000004"/>
    <x v="9"/>
    <n v="66"/>
    <n v="12"/>
    <n v="2011"/>
    <n v="2"/>
    <s v="Dublin"/>
  </r>
  <r>
    <n v="553"/>
    <x v="551"/>
    <x v="17"/>
    <x v="17"/>
    <n v="5300000"/>
    <n v="803.9375"/>
    <x v="7"/>
    <n v="33"/>
    <n v="4"/>
    <n v="2014"/>
    <n v="2"/>
    <s v="Bozeman"/>
  </r>
  <r>
    <n v="554"/>
    <x v="552"/>
    <x v="12"/>
    <x v="12"/>
    <n v="6000000"/>
    <n v="801.44830000000002"/>
    <x v="3"/>
    <n v="9"/>
    <n v="2"/>
    <n v="2008"/>
    <n v="2"/>
    <s v="Plainview"/>
  </r>
  <r>
    <n v="555"/>
    <x v="553"/>
    <x v="8"/>
    <x v="8"/>
    <n v="10700000"/>
    <n v="800.5729"/>
    <x v="15"/>
    <n v="9"/>
    <n v="2"/>
    <n v="2014"/>
    <n v="1"/>
    <s v="Columbus"/>
  </r>
  <r>
    <n v="556"/>
    <x v="554"/>
    <x v="6"/>
    <x v="6"/>
    <n v="9200000"/>
    <n v="800.38570000000004"/>
    <x v="11"/>
    <n v="18"/>
    <n v="5"/>
    <n v="2006"/>
    <n v="3"/>
    <s v="Woodbridge"/>
  </r>
  <r>
    <n v="557"/>
    <x v="555"/>
    <x v="21"/>
    <x v="21"/>
    <n v="2200000"/>
    <n v="797.33510000000001"/>
    <x v="19"/>
    <n v="72"/>
    <n v="2"/>
    <n v="2008"/>
    <n v="1"/>
    <s v="Baltimore"/>
  </r>
  <r>
    <n v="558"/>
    <x v="556"/>
    <x v="9"/>
    <x v="9"/>
    <n v="12600000"/>
    <n v="797.08590000000004"/>
    <x v="9"/>
    <n v="134"/>
    <n v="95"/>
    <n v="2007"/>
    <n v="3"/>
    <s v="Foster City"/>
  </r>
  <r>
    <n v="559"/>
    <x v="557"/>
    <x v="18"/>
    <x v="18"/>
    <n v="27400000"/>
    <n v="794.18340000000001"/>
    <x v="16"/>
    <n v="160"/>
    <n v="32"/>
    <n v="2014"/>
    <n v="2"/>
    <s v="Charlotte"/>
  </r>
  <r>
    <n v="560"/>
    <x v="558"/>
    <x v="7"/>
    <x v="7"/>
    <n v="2000000"/>
    <n v="794.00450000000001"/>
    <x v="23"/>
    <n v="10"/>
    <n v="5"/>
    <n v="2009"/>
    <n v="1"/>
    <s v="Glen Allen"/>
  </r>
  <r>
    <n v="561"/>
    <x v="559"/>
    <x v="9"/>
    <x v="9"/>
    <n v="17200000"/>
    <n v="791.56119999999999"/>
    <x v="16"/>
    <n v="700"/>
    <n v="250"/>
    <n v="2009"/>
    <n v="1"/>
    <s v="Campbell"/>
  </r>
  <r>
    <n v="562"/>
    <x v="560"/>
    <x v="12"/>
    <x v="12"/>
    <n v="138500000"/>
    <n v="790.14980000000003"/>
    <x v="0"/>
    <n v="205"/>
    <n v="60"/>
    <n v="2012"/>
    <n v="3"/>
    <s v="New York"/>
  </r>
  <r>
    <n v="563"/>
    <x v="561"/>
    <x v="12"/>
    <x v="12"/>
    <n v="6900000"/>
    <n v="786.74959999999999"/>
    <x v="0"/>
    <n v="32"/>
    <n v="4"/>
    <n v="2014"/>
    <n v="2"/>
    <s v="Syracuse"/>
  </r>
  <r>
    <n v="564"/>
    <x v="562"/>
    <x v="18"/>
    <x v="18"/>
    <n v="77400000"/>
    <n v="785.5059"/>
    <x v="3"/>
    <n v="500"/>
    <n v="56"/>
    <n v="2013"/>
    <n v="1"/>
    <s v="Charlotte"/>
  </r>
  <r>
    <n v="565"/>
    <x v="563"/>
    <x v="2"/>
    <x v="2"/>
    <n v="16700000"/>
    <n v="784.26469999999995"/>
    <x v="3"/>
    <n v="11"/>
    <n v="4"/>
    <n v="2014"/>
    <n v="1"/>
    <s v="Pearland"/>
  </r>
  <r>
    <n v="566"/>
    <x v="564"/>
    <x v="21"/>
    <x v="21"/>
    <n v="8900000"/>
    <n v="783.74760000000003"/>
    <x v="11"/>
    <n v="38"/>
    <n v="9"/>
    <n v="2011"/>
    <n v="2"/>
    <s v="Woodbine"/>
  </r>
  <r>
    <n v="567"/>
    <x v="565"/>
    <x v="12"/>
    <x v="12"/>
    <n v="2800000"/>
    <n v="777.71510000000001"/>
    <x v="0"/>
    <n v="11"/>
    <n v="2"/>
    <n v="2014"/>
    <n v="1"/>
    <s v="Nesconset"/>
  </r>
  <r>
    <n v="568"/>
    <x v="566"/>
    <x v="34"/>
    <x v="34"/>
    <n v="70700000"/>
    <n v="775.73500000000001"/>
    <x v="11"/>
    <n v="280"/>
    <n v="25"/>
    <n v="2010"/>
    <n v="2"/>
    <s v="Washington"/>
  </r>
  <r>
    <n v="569"/>
    <x v="567"/>
    <x v="5"/>
    <x v="5"/>
    <n v="46400000"/>
    <n v="775.29880000000003"/>
    <x v="11"/>
    <n v="190"/>
    <n v="50"/>
    <n v="2011"/>
    <n v="3"/>
    <s v="Lakeland"/>
  </r>
  <r>
    <n v="570"/>
    <x v="568"/>
    <x v="22"/>
    <x v="22"/>
    <n v="5000000"/>
    <n v="773.74599999999998"/>
    <x v="24"/>
    <n v="90"/>
    <n v="15"/>
    <n v="2013"/>
    <n v="1"/>
    <s v="Minneapolis"/>
  </r>
  <r>
    <n v="571"/>
    <x v="569"/>
    <x v="19"/>
    <x v="19"/>
    <n v="3700000"/>
    <n v="773.52059999999994"/>
    <x v="0"/>
    <n v="22"/>
    <n v="5"/>
    <n v="2015"/>
    <n v="1"/>
    <s v="Madison"/>
  </r>
  <r>
    <n v="572"/>
    <x v="570"/>
    <x v="33"/>
    <x v="33"/>
    <n v="17500000"/>
    <n v="771.86400000000003"/>
    <x v="23"/>
    <n v="55"/>
    <n v="3"/>
    <n v="2012"/>
    <n v="1"/>
    <s v="Indianapolis"/>
  </r>
  <r>
    <n v="573"/>
    <x v="571"/>
    <x v="4"/>
    <x v="4"/>
    <n v="41900000"/>
    <n v="771.00279999999998"/>
    <x v="1"/>
    <n v="83"/>
    <n v="7"/>
    <n v="2013"/>
    <n v="1"/>
    <s v="Pittsburgh"/>
  </r>
  <r>
    <n v="574"/>
    <x v="572"/>
    <x v="27"/>
    <x v="27"/>
    <n v="79600000"/>
    <n v="769.61739999999998"/>
    <x v="5"/>
    <n v="41"/>
    <n v="10"/>
    <n v="2003"/>
    <n v="1"/>
    <s v="Lincolnshire"/>
  </r>
  <r>
    <n v="575"/>
    <x v="573"/>
    <x v="7"/>
    <x v="7"/>
    <n v="16399999.999999998"/>
    <n v="768.67740000000003"/>
    <x v="11"/>
    <n v="67"/>
    <n v="23"/>
    <n v="2012"/>
    <n v="3"/>
    <s v="Mclean"/>
  </r>
  <r>
    <n v="576"/>
    <x v="574"/>
    <x v="7"/>
    <x v="7"/>
    <n v="12500000"/>
    <n v="767.88710000000003"/>
    <x v="11"/>
    <n v="65"/>
    <n v="10"/>
    <n v="2013"/>
    <n v="2"/>
    <s v="Alexandria"/>
  </r>
  <r>
    <n v="577"/>
    <x v="575"/>
    <x v="24"/>
    <x v="24"/>
    <n v="37300000"/>
    <n v="767.43389999999999"/>
    <x v="15"/>
    <n v="225"/>
    <n v="30"/>
    <n v="2012"/>
    <n v="1"/>
    <s v="Haverhill"/>
  </r>
  <r>
    <n v="578"/>
    <x v="576"/>
    <x v="0"/>
    <x v="0"/>
    <n v="4600000"/>
    <n v="766.89869999999996"/>
    <x v="8"/>
    <n v="23"/>
    <n v="3"/>
    <n v="2012"/>
    <n v="2"/>
    <s v="Tempe"/>
  </r>
  <r>
    <n v="579"/>
    <x v="577"/>
    <x v="36"/>
    <x v="36"/>
    <n v="7000000"/>
    <n v="764.94230000000005"/>
    <x v="0"/>
    <n v="8"/>
    <n v="2"/>
    <n v="2014"/>
    <n v="1"/>
    <s v="Jackson"/>
  </r>
  <r>
    <n v="580"/>
    <x v="578"/>
    <x v="40"/>
    <x v="40"/>
    <n v="10000000"/>
    <n v="763.69050000000004"/>
    <x v="7"/>
    <n v="23"/>
    <n v="5"/>
    <n v="2008"/>
    <n v="2"/>
    <s v="Grants Pass"/>
  </r>
  <r>
    <n v="581"/>
    <x v="579"/>
    <x v="5"/>
    <x v="5"/>
    <n v="6100000"/>
    <n v="762.61329999999998"/>
    <x v="22"/>
    <n v="10"/>
    <n v="3"/>
    <n v="2012"/>
    <n v="1"/>
    <s v="Coral Gables"/>
  </r>
  <r>
    <n v="582"/>
    <x v="580"/>
    <x v="7"/>
    <x v="7"/>
    <n v="17100000"/>
    <n v="758.82360000000006"/>
    <x v="11"/>
    <n v="183"/>
    <n v="15"/>
    <n v="2001"/>
    <n v="3"/>
    <s v="Leesburg"/>
  </r>
  <r>
    <n v="583"/>
    <x v="581"/>
    <x v="5"/>
    <x v="5"/>
    <n v="45500000"/>
    <n v="758.55470000000003"/>
    <x v="22"/>
    <n v="70"/>
    <n v="27"/>
    <n v="2011"/>
    <n v="4"/>
    <s v="Miami"/>
  </r>
  <r>
    <n v="584"/>
    <x v="582"/>
    <x v="13"/>
    <x v="13"/>
    <n v="21800000"/>
    <n v="758.47979999999995"/>
    <x v="12"/>
    <n v="22"/>
    <n v="5"/>
    <n v="2015"/>
    <n v="2"/>
    <s v="Atlanta"/>
  </r>
  <r>
    <n v="585"/>
    <x v="583"/>
    <x v="27"/>
    <x v="27"/>
    <n v="3600000"/>
    <n v="758.1191"/>
    <x v="20"/>
    <n v="41"/>
    <n v="20"/>
    <n v="2013"/>
    <n v="1"/>
    <s v="Skokie"/>
  </r>
  <r>
    <n v="586"/>
    <x v="584"/>
    <x v="7"/>
    <x v="7"/>
    <n v="2500000"/>
    <n v="756.4864"/>
    <x v="25"/>
    <n v="14"/>
    <n v="2"/>
    <n v="2010"/>
    <n v="2"/>
    <s v="Arlington"/>
  </r>
  <r>
    <n v="587"/>
    <x v="585"/>
    <x v="11"/>
    <x v="11"/>
    <n v="18800000"/>
    <n v="754.75789999999995"/>
    <x v="0"/>
    <n v="33"/>
    <n v="8"/>
    <n v="2010"/>
    <n v="4"/>
    <s v="Bothell"/>
  </r>
  <r>
    <n v="588"/>
    <x v="586"/>
    <x v="13"/>
    <x v="13"/>
    <n v="3700000"/>
    <n v="754.65539999999999"/>
    <x v="24"/>
    <n v="25"/>
    <n v="3"/>
    <n v="2014"/>
    <n v="2"/>
    <s v="Atlanta"/>
  </r>
  <r>
    <n v="589"/>
    <x v="587"/>
    <x v="37"/>
    <x v="37"/>
    <n v="4099999.9999999995"/>
    <n v="754.35900000000004"/>
    <x v="3"/>
    <n v="4"/>
    <n v="2"/>
    <n v="2009"/>
    <n v="2"/>
    <s v="North Myrtle Beach"/>
  </r>
  <r>
    <n v="590"/>
    <x v="588"/>
    <x v="2"/>
    <x v="2"/>
    <n v="3400000"/>
    <n v="754.02660000000003"/>
    <x v="25"/>
    <n v="34"/>
    <n v="7"/>
    <n v="2008"/>
    <n v="1"/>
    <s v="Houston"/>
  </r>
  <r>
    <n v="591"/>
    <x v="589"/>
    <x v="24"/>
    <x v="24"/>
    <n v="13000000"/>
    <n v="751.24440000000004"/>
    <x v="0"/>
    <n v="21"/>
    <n v="15"/>
    <n v="2010"/>
    <n v="3"/>
    <s v="Boston"/>
  </r>
  <r>
    <n v="592"/>
    <x v="590"/>
    <x v="21"/>
    <x v="21"/>
    <n v="16900000"/>
    <n v="750.88130000000001"/>
    <x v="11"/>
    <n v="35"/>
    <n v="16"/>
    <n v="2008"/>
    <n v="3"/>
    <s v="Greenbelt"/>
  </r>
  <r>
    <n v="593"/>
    <x v="591"/>
    <x v="27"/>
    <x v="27"/>
    <n v="6000000"/>
    <n v="750.33699999999999"/>
    <x v="4"/>
    <n v="10"/>
    <n v="3"/>
    <n v="2011"/>
    <n v="2"/>
    <s v="NAPERVILLE"/>
  </r>
  <r>
    <n v="594"/>
    <x v="592"/>
    <x v="9"/>
    <x v="9"/>
    <n v="5000000"/>
    <n v="749.8904"/>
    <x v="13"/>
    <n v="14"/>
    <n v="2"/>
    <n v="2012"/>
    <n v="1"/>
    <s v="San Diego"/>
  </r>
  <r>
    <n v="595"/>
    <x v="593"/>
    <x v="0"/>
    <x v="0"/>
    <n v="5300000"/>
    <n v="746.88660000000004"/>
    <x v="19"/>
    <n v="45"/>
    <n v="5"/>
    <n v="2015"/>
    <n v="1"/>
    <s v="Phoenix"/>
  </r>
  <r>
    <n v="596"/>
    <x v="594"/>
    <x v="41"/>
    <x v="41"/>
    <n v="2000000"/>
    <n v="746.03989999999999"/>
    <x v="23"/>
    <n v="18"/>
    <n v="4"/>
    <n v="2011"/>
    <n v="1"/>
    <s v="Des Moines"/>
  </r>
  <r>
    <n v="597"/>
    <x v="595"/>
    <x v="16"/>
    <x v="16"/>
    <n v="14900000"/>
    <n v="743.58489999999995"/>
    <x v="3"/>
    <n v="39"/>
    <n v="9"/>
    <n v="2013"/>
    <n v="2"/>
    <s v="Lehi"/>
  </r>
  <r>
    <n v="598"/>
    <x v="596"/>
    <x v="21"/>
    <x v="21"/>
    <n v="4000000"/>
    <n v="742.78430000000003"/>
    <x v="11"/>
    <n v="30"/>
    <n v="5"/>
    <n v="2013"/>
    <n v="1"/>
    <s v="Baltimore"/>
  </r>
  <r>
    <n v="599"/>
    <x v="597"/>
    <x v="9"/>
    <x v="9"/>
    <n v="44000000"/>
    <n v="741.23900000000003"/>
    <x v="4"/>
    <n v="55"/>
    <n v="15"/>
    <n v="2014"/>
    <n v="1"/>
    <s v="San Jose"/>
  </r>
  <r>
    <n v="600"/>
    <x v="598"/>
    <x v="13"/>
    <x v="13"/>
    <n v="6000000"/>
    <n v="740.05039999999997"/>
    <x v="19"/>
    <n v="113"/>
    <n v="42"/>
    <n v="2015"/>
    <n v="1"/>
    <s v="Alpharetta"/>
  </r>
  <r>
    <n v="601"/>
    <x v="599"/>
    <x v="27"/>
    <x v="27"/>
    <n v="3400000"/>
    <n v="738.51020000000005"/>
    <x v="24"/>
    <n v="12"/>
    <n v="3"/>
    <n v="2012"/>
    <n v="1"/>
    <s v="Chicago"/>
  </r>
  <r>
    <n v="602"/>
    <x v="600"/>
    <x v="12"/>
    <x v="12"/>
    <n v="2400000"/>
    <n v="736.8569"/>
    <x v="0"/>
    <n v="2"/>
    <n v="1"/>
    <n v="2010"/>
    <n v="1"/>
    <s v="Rochester"/>
  </r>
  <r>
    <n v="603"/>
    <x v="601"/>
    <x v="9"/>
    <x v="9"/>
    <n v="10900000"/>
    <n v="736.06029999999998"/>
    <x v="5"/>
    <n v="202"/>
    <n v="43"/>
    <n v="2012"/>
    <n v="2"/>
    <s v="Oakland"/>
  </r>
  <r>
    <n v="604"/>
    <x v="602"/>
    <x v="9"/>
    <x v="9"/>
    <n v="14800000"/>
    <n v="735.79380000000003"/>
    <x v="2"/>
    <n v="102"/>
    <n v="20"/>
    <n v="2014"/>
    <n v="1"/>
    <s v="Berkel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235353-63F3-4B43-8B58-D7366CDD53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ndustries">
  <location ref="A3:C14" firstHeaderRow="0" firstDataRow="1" firstDataCol="1"/>
  <pivotFields count="15">
    <pivotField showAll="0"/>
    <pivotField showAll="0"/>
    <pivotField showAll="0"/>
    <pivotField showAll="0"/>
    <pivotField dataField="1" numFmtId="165" showAll="0"/>
    <pivotField numFmtId="2" showAll="0"/>
    <pivotField axis="axisRow" dataField="1" showAll="0" measureFilter="1" sortType="descending">
      <items count="28">
        <item x="0"/>
        <item x="23"/>
        <item x="8"/>
        <item x="15"/>
        <item x="3"/>
        <item x="24"/>
        <item x="10"/>
        <item x="25"/>
        <item x="21"/>
        <item x="7"/>
        <item x="2"/>
        <item x="11"/>
        <item x="5"/>
        <item x="20"/>
        <item x="22"/>
        <item x="19"/>
        <item m="1" x="26"/>
        <item x="16"/>
        <item x="1"/>
        <item x="13"/>
        <item x="14"/>
        <item x="12"/>
        <item x="4"/>
        <item x="18"/>
        <item x="9"/>
        <item x="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11">
    <i>
      <x v="12"/>
    </i>
    <i>
      <x v="21"/>
    </i>
    <i>
      <x v="6"/>
    </i>
    <i>
      <x v="18"/>
    </i>
    <i>
      <x v="11"/>
    </i>
    <i>
      <x v="9"/>
    </i>
    <i>
      <x v="4"/>
    </i>
    <i>
      <x v="14"/>
    </i>
    <i>
      <x v="8"/>
    </i>
    <i>
      <x/>
    </i>
    <i t="grand">
      <x/>
    </i>
  </rowItems>
  <colFields count="1">
    <field x="-2"/>
  </colFields>
  <colItems count="2">
    <i>
      <x/>
    </i>
    <i i="1">
      <x v="1"/>
    </i>
  </colItems>
  <dataFields count="2">
    <dataField name="Avg Revenue" fld="4" subtotal="average" baseField="5" baseItem="0" numFmtId="165"/>
    <dataField name="Count of Industry" fld="6" subtotal="count" baseField="0" baseItem="0"/>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30A5D6-22C8-4A83-80C1-D8CEA7CF69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dustries">
  <location ref="A18:B29" firstHeaderRow="1" firstDataRow="1" firstDataCol="1"/>
  <pivotFields count="15">
    <pivotField showAll="0"/>
    <pivotField showAll="0"/>
    <pivotField showAll="0"/>
    <pivotField showAll="0"/>
    <pivotField numFmtId="165" showAll="0"/>
    <pivotField numFmtId="2" showAll="0"/>
    <pivotField axis="axisRow" dataField="1" showAll="0" measureFilter="1" sortType="ascending">
      <items count="28">
        <item x="0"/>
        <item x="23"/>
        <item x="8"/>
        <item x="15"/>
        <item x="3"/>
        <item x="24"/>
        <item x="10"/>
        <item x="25"/>
        <item x="21"/>
        <item x="7"/>
        <item x="2"/>
        <item x="11"/>
        <item x="5"/>
        <item x="20"/>
        <item x="22"/>
        <item x="19"/>
        <item m="1" x="26"/>
        <item x="16"/>
        <item x="1"/>
        <item x="13"/>
        <item x="14"/>
        <item x="12"/>
        <item x="4"/>
        <item x="18"/>
        <item x="9"/>
        <item x="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11">
    <i>
      <x v="7"/>
    </i>
    <i>
      <x v="20"/>
    </i>
    <i>
      <x v="26"/>
    </i>
    <i>
      <x v="8"/>
    </i>
    <i>
      <x v="2"/>
    </i>
    <i>
      <x v="14"/>
    </i>
    <i>
      <x v="25"/>
    </i>
    <i>
      <x v="13"/>
    </i>
    <i>
      <x v="5"/>
    </i>
    <i>
      <x v="23"/>
    </i>
    <i t="grand">
      <x/>
    </i>
  </rowItems>
  <colItems count="1">
    <i/>
  </colItems>
  <dataFields count="1">
    <dataField name="Count of Industry" fld="6"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C1F1D0-88AE-4434-8ACE-72F5ED79FA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ndustries">
  <location ref="B2:D101" firstHeaderRow="0" firstDataRow="1" firstDataCol="1"/>
  <pivotFields count="15">
    <pivotField showAll="0"/>
    <pivotField axis="axisRow" showAll="0">
      <items count="4989">
        <item m="1" x="3682"/>
        <item m="1" x="4898"/>
        <item m="1" x="3650"/>
        <item m="1" x="735"/>
        <item m="1" x="4578"/>
        <item m="1" x="1366"/>
        <item x="68"/>
        <item m="1" x="1996"/>
        <item m="1" x="702"/>
        <item m="1" x="1669"/>
        <item m="1" x="4572"/>
        <item m="1" x="1256"/>
        <item x="181"/>
        <item m="1" x="3490"/>
        <item m="1" x="1278"/>
        <item m="1" x="4286"/>
        <item m="1" x="3935"/>
        <item m="1" x="4210"/>
        <item m="1" x="3941"/>
        <item m="1" x="1835"/>
        <item m="1" x="1004"/>
        <item m="1" x="4382"/>
        <item m="1" x="4918"/>
        <item m="1" x="1489"/>
        <item m="1" x="2100"/>
        <item m="1" x="4798"/>
        <item m="1" x="1318"/>
        <item m="1" x="4245"/>
        <item m="1" x="3884"/>
        <item m="1" x="971"/>
        <item m="1" x="3747"/>
        <item m="1" x="1142"/>
        <item m="1" x="4902"/>
        <item x="312"/>
        <item m="1" x="3004"/>
        <item m="1" x="3705"/>
        <item m="1" x="1797"/>
        <item m="1" x="1660"/>
        <item m="1" x="981"/>
        <item m="1" x="1436"/>
        <item m="1" x="4715"/>
        <item m="1" x="4533"/>
        <item m="1" x="3507"/>
        <item m="1" x="4704"/>
        <item m="1" x="4149"/>
        <item m="1" x="3532"/>
        <item m="1" x="4870"/>
        <item m="1" x="3697"/>
        <item x="69"/>
        <item m="1" x="3601"/>
        <item x="115"/>
        <item m="1" x="3591"/>
        <item m="1" x="1619"/>
        <item m="1" x="1684"/>
        <item m="1" x="632"/>
        <item m="1" x="1730"/>
        <item m="1" x="4796"/>
        <item m="1" x="1284"/>
        <item m="1" x="3695"/>
        <item m="1" x="3504"/>
        <item m="1" x="3736"/>
        <item m="1" x="4478"/>
        <item m="1" x="2203"/>
        <item m="1" x="3626"/>
        <item m="1" x="2546"/>
        <item m="1" x="2625"/>
        <item m="1" x="4522"/>
        <item m="1" x="1591"/>
        <item m="1" x="2436"/>
        <item m="1" x="3170"/>
        <item m="1" x="2312"/>
        <item m="1" x="1045"/>
        <item m="1" x="2711"/>
        <item m="1" x="3483"/>
        <item m="1" x="4546"/>
        <item m="1" x="4803"/>
        <item m="1" x="3822"/>
        <item m="1" x="3230"/>
        <item m="1" x="2969"/>
        <item m="1" x="3600"/>
        <item m="1" x="2386"/>
        <item m="1" x="2822"/>
        <item x="451"/>
        <item m="1" x="2199"/>
        <item m="1" x="2383"/>
        <item m="1" x="2153"/>
        <item m="1" x="3952"/>
        <item x="493"/>
        <item m="1" x="1634"/>
        <item m="1" x="4139"/>
        <item m="1" x="2090"/>
        <item m="1" x="3819"/>
        <item m="1" x="4641"/>
        <item m="1" x="3108"/>
        <item m="1" x="3995"/>
        <item m="1" x="4327"/>
        <item m="1" x="4698"/>
        <item m="1" x="4933"/>
        <item m="1" x="4232"/>
        <item m="1" x="1736"/>
        <item m="1" x="2502"/>
        <item m="1" x="2945"/>
        <item m="1" x="3322"/>
        <item m="1" x="3724"/>
        <item m="1" x="4083"/>
        <item m="1" x="1752"/>
        <item m="1" x="2306"/>
        <item m="1" x="694"/>
        <item m="1" x="2108"/>
        <item m="1" x="1417"/>
        <item m="1" x="4826"/>
        <item m="1" x="2834"/>
        <item m="1" x="4913"/>
        <item m="1" x="4735"/>
        <item m="1" x="3090"/>
        <item m="1" x="3115"/>
        <item m="1" x="718"/>
        <item m="1" x="4028"/>
        <item m="1" x="2390"/>
        <item x="167"/>
        <item m="1" x="2310"/>
        <item m="1" x="693"/>
        <item m="1" x="2254"/>
        <item m="1" x="3145"/>
        <item m="1" x="3978"/>
        <item m="1" x="783"/>
        <item m="1" x="4945"/>
        <item m="1" x="1844"/>
        <item x="359"/>
        <item m="1" x="4433"/>
        <item x="509"/>
        <item m="1" x="1424"/>
        <item m="1" x="2296"/>
        <item m="1" x="1893"/>
        <item m="1" x="3211"/>
        <item m="1" x="2552"/>
        <item m="1" x="3864"/>
        <item m="1" x="1851"/>
        <item m="1" x="1434"/>
        <item x="416"/>
        <item m="1" x="3659"/>
        <item m="1" x="1378"/>
        <item m="1" x="4462"/>
        <item m="1" x="983"/>
        <item m="1" x="4581"/>
        <item m="1" x="2920"/>
        <item m="1" x="2586"/>
        <item x="403"/>
        <item m="1" x="3066"/>
        <item m="1" x="4147"/>
        <item m="1" x="4048"/>
        <item m="1" x="4285"/>
        <item m="1" x="1380"/>
        <item m="1" x="1601"/>
        <item m="1" x="4969"/>
        <item m="1" x="1356"/>
        <item m="1" x="2447"/>
        <item m="1" x="4689"/>
        <item m="1" x="1713"/>
        <item x="423"/>
        <item m="1" x="4732"/>
        <item x="279"/>
        <item m="1" x="614"/>
        <item x="198"/>
        <item m="1" x="2663"/>
        <item m="1" x="4044"/>
        <item m="1" x="4494"/>
        <item m="1" x="1524"/>
        <item m="1" x="2417"/>
        <item m="1" x="3484"/>
        <item m="1" x="1369"/>
        <item m="1" x="2734"/>
        <item m="1" x="3412"/>
        <item m="1" x="1197"/>
        <item m="1" x="3062"/>
        <item m="1" x="2463"/>
        <item m="1" x="1800"/>
        <item m="1" x="2639"/>
        <item m="1" x="2477"/>
        <item m="1" x="1529"/>
        <item m="1" x="1458"/>
        <item m="1" x="1083"/>
        <item m="1" x="1242"/>
        <item m="1" x="2128"/>
        <item m="1" x="2369"/>
        <item m="1" x="4899"/>
        <item m="1" x="4435"/>
        <item m="1" x="2981"/>
        <item m="1" x="3630"/>
        <item m="1" x="2577"/>
        <item m="1" x="2326"/>
        <item m="1" x="1873"/>
        <item m="1" x="646"/>
        <item m="1" x="4163"/>
        <item m="1" x="1078"/>
        <item m="1" x="4838"/>
        <item m="1" x="3948"/>
        <item m="1" x="2341"/>
        <item m="1" x="4392"/>
        <item m="1" x="2242"/>
        <item x="152"/>
        <item m="1" x="4198"/>
        <item m="1" x="3268"/>
        <item m="1" x="2799"/>
        <item m="1" x="628"/>
        <item m="1" x="1279"/>
        <item x="539"/>
        <item m="1" x="3133"/>
        <item x="283"/>
        <item x="446"/>
        <item m="1" x="2410"/>
        <item m="1" x="1338"/>
        <item m="1" x="1891"/>
        <item m="1" x="3003"/>
        <item m="1" x="3861"/>
        <item m="1" x="1167"/>
        <item x="298"/>
        <item x="467"/>
        <item m="1" x="1646"/>
        <item m="1" x="2714"/>
        <item m="1" x="4052"/>
        <item m="1" x="2474"/>
        <item m="1" x="3282"/>
        <item m="1" x="2021"/>
        <item m="1" x="3144"/>
        <item m="1" x="3208"/>
        <item m="1" x="2746"/>
        <item m="1" x="4531"/>
        <item m="1" x="4878"/>
        <item x="39"/>
        <item m="1" x="3023"/>
        <item m="1" x="978"/>
        <item m="1" x="4956"/>
        <item m="1" x="3244"/>
        <item m="1" x="2006"/>
        <item m="1" x="4280"/>
        <item m="1" x="4067"/>
        <item m="1" x="3054"/>
        <item x="575"/>
        <item m="1" x="1935"/>
        <item m="1" x="3569"/>
        <item x="119"/>
        <item m="1" x="3440"/>
        <item m="1" x="3741"/>
        <item x="142"/>
        <item m="1" x="2904"/>
        <item m="1" x="2958"/>
        <item m="1" x="1758"/>
        <item x="576"/>
        <item m="1" x="3876"/>
        <item m="1" x="3668"/>
        <item m="1" x="3827"/>
        <item m="1" x="1802"/>
        <item m="1" x="3755"/>
        <item m="1" x="4226"/>
        <item m="1" x="3219"/>
        <item m="1" x="2797"/>
        <item x="292"/>
        <item m="1" x="1042"/>
        <item m="1" x="3613"/>
        <item m="1" x="2464"/>
        <item m="1" x="4501"/>
        <item x="96"/>
        <item m="1" x="3368"/>
        <item m="1" x="897"/>
        <item m="1" x="4880"/>
        <item m="1" x="1725"/>
        <item m="1" x="2899"/>
        <item m="1" x="4661"/>
        <item m="1" x="977"/>
        <item m="1" x="4947"/>
        <item m="1" x="4832"/>
        <item m="1" x="4979"/>
        <item m="1" x="4958"/>
        <item m="1" x="3411"/>
        <item m="1" x="4620"/>
        <item m="1" x="2088"/>
        <item m="1" x="4583"/>
        <item m="1" x="771"/>
        <item m="1" x="2877"/>
        <item m="1" x="818"/>
        <item m="1" x="3390"/>
        <item x="27"/>
        <item m="1" x="2318"/>
        <item m="1" x="1420"/>
        <item m="1" x="2406"/>
        <item m="1" x="1496"/>
        <item m="1" x="1192"/>
        <item m="1" x="3337"/>
        <item m="1" x="1236"/>
        <item m="1" x="3592"/>
        <item m="1" x="2498"/>
        <item m="1" x="3906"/>
        <item m="1" x="3974"/>
        <item m="1" x="4180"/>
        <item m="1" x="757"/>
        <item x="15"/>
        <item m="1" x="891"/>
        <item m="1" x="2514"/>
        <item m="1" x="1441"/>
        <item m="1" x="4787"/>
        <item x="459"/>
        <item m="1" x="4556"/>
        <item x="401"/>
        <item m="1" x="4664"/>
        <item m="1" x="4008"/>
        <item m="1" x="2399"/>
        <item m="1" x="3428"/>
        <item x="582"/>
        <item x="587"/>
        <item m="1" x="4694"/>
        <item m="1" x="2587"/>
        <item m="1" x="3862"/>
        <item m="1" x="2434"/>
        <item m="1" x="973"/>
        <item m="1" x="1102"/>
        <item m="1" x="1478"/>
        <item m="1" x="664"/>
        <item m="1" x="4187"/>
        <item m="1" x="2102"/>
        <item m="1" x="3657"/>
        <item m="1" x="4576"/>
        <item m="1" x="1823"/>
        <item m="1" x="3892"/>
        <item m="1" x="2979"/>
        <item x="398"/>
        <item m="1" x="3389"/>
        <item m="1" x="847"/>
        <item m="1" x="4220"/>
        <item m="1" x="3598"/>
        <item m="1" x="1019"/>
        <item m="1" x="4098"/>
        <item m="1" x="4729"/>
        <item m="1" x="1850"/>
        <item m="1" x="2775"/>
        <item m="1" x="4273"/>
        <item m="1" x="2770"/>
        <item m="1" x="3335"/>
        <item m="1" x="2719"/>
        <item m="1" x="2567"/>
        <item m="1" x="729"/>
        <item m="1" x="1008"/>
        <item m="1" x="2801"/>
        <item m="1" x="2019"/>
        <item m="1" x="3077"/>
        <item m="1" x="3314"/>
        <item m="1" x="3000"/>
        <item m="1" x="3647"/>
        <item m="1" x="1283"/>
        <item m="1" x="2828"/>
        <item x="148"/>
        <item m="1" x="1271"/>
        <item m="1" x="3199"/>
        <item m="1" x="3965"/>
        <item m="1" x="3303"/>
        <item m="1" x="3606"/>
        <item m="1" x="4113"/>
        <item m="1" x="2487"/>
        <item m="1" x="3294"/>
        <item m="1" x="3284"/>
        <item x="331"/>
        <item m="1" x="1560"/>
        <item m="1" x="4288"/>
        <item m="1" x="680"/>
        <item m="1" x="4635"/>
        <item m="1" x="4875"/>
        <item m="1" x="3228"/>
        <item m="1" x="2308"/>
        <item m="1" x="1766"/>
        <item m="1" x="3628"/>
        <item m="1" x="2387"/>
        <item m="1" x="4214"/>
        <item x="460"/>
        <item m="1" x="2202"/>
        <item m="1" x="4811"/>
        <item x="411"/>
        <item x="143"/>
        <item m="1" x="4723"/>
        <item m="1" x="1691"/>
        <item m="1" x="4585"/>
        <item m="1" x="2234"/>
        <item m="1" x="2211"/>
        <item m="1" x="1349"/>
        <item m="1" x="4535"/>
        <item m="1" x="1392"/>
        <item m="1" x="4302"/>
        <item x="563"/>
        <item m="1" x="3347"/>
        <item m="1" x="3318"/>
        <item m="1" x="2730"/>
        <item m="1" x="3177"/>
        <item m="1" x="2533"/>
        <item m="1" x="3320"/>
        <item x="82"/>
        <item m="1" x="1817"/>
        <item m="1" x="3255"/>
        <item x="66"/>
        <item m="1" x="1384"/>
        <item x="434"/>
        <item m="1" x="3222"/>
        <item m="1" x="4557"/>
        <item m="1" x="4483"/>
        <item m="1" x="4701"/>
        <item m="1" x="2379"/>
        <item m="1" x="2356"/>
        <item m="1" x="4034"/>
        <item m="1" x="4129"/>
        <item m="1" x="991"/>
        <item m="1" x="4561"/>
        <item m="1" x="2540"/>
        <item m="1" x="4203"/>
        <item m="1" x="3198"/>
        <item m="1" x="3764"/>
        <item m="1" x="1486"/>
        <item m="1" x="2415"/>
        <item m="1" x="1488"/>
        <item m="1" x="3687"/>
        <item m="1" x="4936"/>
        <item m="1" x="968"/>
        <item x="414"/>
        <item m="1" x="4903"/>
        <item m="1" x="1573"/>
        <item m="1" x="1336"/>
        <item m="1" x="682"/>
        <item m="1" x="2144"/>
        <item m="1" x="3844"/>
        <item m="1" x="2060"/>
        <item x="112"/>
        <item m="1" x="4240"/>
        <item m="1" x="3802"/>
        <item m="1" x="2170"/>
        <item m="1" x="3921"/>
        <item m="1" x="1077"/>
        <item m="1" x="1520"/>
        <item m="1" x="1460"/>
        <item m="1" x="3076"/>
        <item m="1" x="3241"/>
        <item m="1" x="1710"/>
        <item m="1" x="1092"/>
        <item m="1" x="1858"/>
        <item m="1" x="2641"/>
        <item x="227"/>
        <item m="1" x="2943"/>
        <item m="1" x="4910"/>
        <item m="1" x="3233"/>
        <item m="1" x="4490"/>
        <item m="1" x="2244"/>
        <item m="1" x="3231"/>
        <item m="1" x="738"/>
        <item m="1" x="3636"/>
        <item m="1" x="4560"/>
        <item m="1" x="4605"/>
        <item m="1" x="1139"/>
        <item x="24"/>
        <item m="1" x="1625"/>
        <item m="1" x="2486"/>
        <item m="1" x="769"/>
        <item m="1" x="2954"/>
        <item m="1" x="1082"/>
        <item x="200"/>
        <item m="1" x="3572"/>
        <item m="1" x="3086"/>
        <item m="1" x="1117"/>
        <item m="1" x="1372"/>
        <item x="431"/>
        <item m="1" x="2290"/>
        <item x="597"/>
        <item m="1" x="4495"/>
        <item m="1" x="4484"/>
        <item x="352"/>
        <item m="1" x="875"/>
        <item m="1" x="2692"/>
        <item m="1" x="1545"/>
        <item m="1" x="4194"/>
        <item x="108"/>
        <item m="1" x="1483"/>
        <item m="1" x="1985"/>
        <item m="1" x="2031"/>
        <item m="1" x="3235"/>
        <item m="1" x="3843"/>
        <item m="1" x="1816"/>
        <item x="426"/>
        <item x="559"/>
        <item m="1" x="1806"/>
        <item m="1" x="3385"/>
        <item m="1" x="4178"/>
        <item x="120"/>
        <item m="1" x="3171"/>
        <item m="1" x="4938"/>
        <item m="1" x="1889"/>
        <item m="1" x="1290"/>
        <item m="1" x="3777"/>
        <item m="1" x="2791"/>
        <item m="1" x="1622"/>
        <item m="1" x="966"/>
        <item m="1" x="4808"/>
        <item m="1" x="4292"/>
        <item m="1" x="2584"/>
        <item m="1" x="1118"/>
        <item m="1" x="4038"/>
        <item m="1" x="1847"/>
        <item m="1" x="865"/>
        <item x="310"/>
        <item m="1" x="3562"/>
        <item m="1" x="4480"/>
        <item m="1" x="4835"/>
        <item m="1" x="1210"/>
        <item m="1" x="2380"/>
        <item x="254"/>
        <item m="1" x="3029"/>
        <item m="1" x="3032"/>
        <item x="522"/>
        <item x="550"/>
        <item m="1" x="2623"/>
        <item m="1" x="2846"/>
        <item m="1" x="2673"/>
        <item m="1" x="3686"/>
        <item x="439"/>
        <item m="1" x="2482"/>
        <item m="1" x="2693"/>
        <item m="1" x="1854"/>
        <item m="1" x="676"/>
        <item m="1" x="4118"/>
        <item m="1" x="802"/>
        <item m="1" x="3051"/>
        <item x="6"/>
        <item m="1" x="2101"/>
        <item m="1" x="813"/>
        <item m="1" x="1093"/>
        <item x="525"/>
        <item m="1" x="1143"/>
        <item m="1" x="808"/>
        <item m="1" x="4281"/>
        <item m="1" x="3889"/>
        <item m="1" x="1597"/>
        <item m="1" x="2245"/>
        <item m="1" x="2653"/>
        <item m="1" x="1386"/>
        <item m="1" x="3252"/>
        <item m="1" x="988"/>
        <item m="1" x="933"/>
        <item x="45"/>
        <item m="1" x="1165"/>
        <item m="1" x="2518"/>
        <item m="1" x="2537"/>
        <item m="1" x="2841"/>
        <item m="1" x="2229"/>
        <item m="1" x="1958"/>
        <item m="1" x="4728"/>
        <item m="1" x="1218"/>
        <item m="1" x="4670"/>
        <item m="1" x="3192"/>
        <item x="29"/>
        <item m="1" x="1871"/>
        <item x="303"/>
        <item m="1" x="2050"/>
        <item m="1" x="1945"/>
        <item m="1" x="4188"/>
        <item m="1" x="2191"/>
        <item m="1" x="4497"/>
        <item m="1" x="2702"/>
        <item m="1" x="1575"/>
        <item m="1" x="2814"/>
        <item m="1" x="3855"/>
        <item m="1" x="1065"/>
        <item x="316"/>
        <item m="1" x="963"/>
        <item m="1" x="2642"/>
        <item m="1" x="2854"/>
        <item m="1" x="1015"/>
        <item m="1" x="4040"/>
        <item m="1" x="1744"/>
        <item m="1" x="3726"/>
        <item m="1" x="3709"/>
        <item x="339"/>
        <item m="1" x="1875"/>
        <item m="1" x="4420"/>
        <item m="1" x="2010"/>
        <item m="1" x="1637"/>
        <item m="1" x="1148"/>
        <item m="1" x="1343"/>
        <item m="1" x="4108"/>
        <item m="1" x="1584"/>
        <item m="1" x="3774"/>
        <item m="1" x="2043"/>
        <item m="1" x="1268"/>
        <item m="1" x="2297"/>
        <item m="1" x="3459"/>
        <item m="1" x="864"/>
        <item m="1" x="3456"/>
        <item m="1" x="1362"/>
        <item m="1" x="3250"/>
        <item m="1" x="1967"/>
        <item m="1" x="1804"/>
        <item m="1" x="2722"/>
        <item m="1" x="3312"/>
        <item m="1" x="4597"/>
        <item m="1" x="1470"/>
        <item m="1" x="2886"/>
        <item m="1" x="4213"/>
        <item m="1" x="2531"/>
        <item m="1" x="3437"/>
        <item m="1" x="4831"/>
        <item m="1" x="4515"/>
        <item m="1" x="1203"/>
        <item m="1" x="1879"/>
        <item m="1" x="4724"/>
        <item m="1" x="4193"/>
        <item x="599"/>
        <item m="1" x="1515"/>
        <item m="1" x="3903"/>
        <item m="1" x="821"/>
        <item m="1" x="1432"/>
        <item m="1" x="2655"/>
        <item m="1" x="4318"/>
        <item m="1" x="792"/>
        <item m="1" x="3958"/>
        <item x="507"/>
        <item x="328"/>
        <item m="1" x="1514"/>
        <item m="1" x="4406"/>
        <item m="1" x="2735"/>
        <item m="1" x="3528"/>
        <item m="1" x="1140"/>
        <item m="1" x="2142"/>
        <item m="1" x="4917"/>
        <item m="1" x="742"/>
        <item m="1" x="893"/>
        <item m="1" x="3128"/>
        <item m="1" x="3703"/>
        <item m="1" x="4105"/>
        <item m="1" x="3261"/>
        <item x="84"/>
        <item m="1" x="1276"/>
        <item x="583"/>
        <item m="1" x="4395"/>
        <item x="256"/>
        <item m="1" x="1982"/>
        <item m="1" x="2511"/>
        <item m="1" x="4135"/>
        <item m="1" x="1138"/>
        <item m="1" x="828"/>
        <item m="1" x="1463"/>
        <item m="1" x="1869"/>
        <item m="1" x="1072"/>
        <item x="130"/>
        <item m="1" x="1845"/>
        <item m="1" x="4465"/>
        <item m="1" x="4313"/>
        <item m="1" x="943"/>
        <item x="485"/>
        <item m="1" x="4518"/>
        <item m="1" x="643"/>
        <item m="1" x="2749"/>
        <item m="1" x="2336"/>
        <item m="1" x="4242"/>
        <item m="1" x="2198"/>
        <item m="1" x="4208"/>
        <item m="1" x="826"/>
        <item m="1" x="4877"/>
        <item m="1" x="3269"/>
        <item m="1" x="2330"/>
        <item m="1" x="2935"/>
        <item m="1" x="846"/>
        <item m="1" x="2685"/>
        <item m="1" x="1786"/>
        <item x="164"/>
        <item m="1" x="996"/>
        <item m="1" x="845"/>
        <item x="480"/>
        <item m="1" x="2209"/>
        <item x="210"/>
        <item m="1" x="1374"/>
        <item m="1" x="1894"/>
        <item x="421"/>
        <item m="1" x="1479"/>
        <item m="1" x="2885"/>
        <item m="1" x="3989"/>
        <item x="400"/>
        <item m="1" x="626"/>
        <item m="1" x="2652"/>
        <item m="1" x="3545"/>
        <item m="1" x="4752"/>
        <item m="1" x="641"/>
        <item m="1" x="4469"/>
        <item m="1" x="2792"/>
        <item m="1" x="1561"/>
        <item m="1" x="2802"/>
        <item x="374"/>
        <item m="1" x="2348"/>
        <item x="588"/>
        <item m="1" x="1721"/>
        <item m="1" x="3417"/>
        <item m="1" x="784"/>
        <item m="1" x="2215"/>
        <item m="1" x="3343"/>
        <item m="1" x="1920"/>
        <item m="1" x="2329"/>
        <item m="1" x="4114"/>
        <item m="1" x="1400"/>
        <item m="1" x="1001"/>
        <item m="1" x="4671"/>
        <item x="577"/>
        <item m="1" x="1060"/>
        <item m="1" x="4582"/>
        <item m="1" x="4610"/>
        <item x="75"/>
        <item x="190"/>
        <item m="1" x="2145"/>
        <item m="1" x="4688"/>
        <item m="1" x="3246"/>
        <item x="420"/>
        <item x="249"/>
        <item m="1" x="2138"/>
        <item m="1" x="4359"/>
        <item m="1" x="4017"/>
        <item m="1" x="2132"/>
        <item x="154"/>
        <item m="1" x="3053"/>
        <item m="1" x="4274"/>
        <item m="1" x="2382"/>
        <item m="1" x="928"/>
        <item m="1" x="1717"/>
        <item m="1" x="1300"/>
        <item m="1" x="732"/>
        <item m="1" x="3305"/>
        <item m="1" x="2769"/>
        <item m="1" x="2472"/>
        <item x="224"/>
        <item m="1" x="2640"/>
        <item m="1" x="4029"/>
        <item m="1" x="1934"/>
        <item m="1" x="1565"/>
        <item m="1" x="2873"/>
        <item m="1" x="1955"/>
        <item m="1" x="4754"/>
        <item m="1" x="2839"/>
        <item m="1" x="2137"/>
        <item x="443"/>
        <item m="1" x="3225"/>
        <item m="1" x="3289"/>
        <item m="1" x="3804"/>
        <item m="1" x="3227"/>
        <item m="1" x="1124"/>
        <item m="1" x="2512"/>
        <item m="1" x="3124"/>
        <item m="1" x="3243"/>
        <item m="1" x="921"/>
        <item m="1" x="3945"/>
        <item m="1" x="4335"/>
        <item m="1" x="3010"/>
        <item m="1" x="3065"/>
        <item m="1" x="3340"/>
        <item m="1" x="627"/>
        <item m="1" x="4672"/>
        <item m="1" x="2592"/>
        <item m="1" x="3938"/>
        <item m="1" x="2947"/>
        <item x="106"/>
        <item m="1" x="4137"/>
        <item m="1" x="674"/>
        <item m="1" x="1239"/>
        <item m="1" x="4595"/>
        <item m="1" x="3939"/>
        <item m="1" x="2419"/>
        <item m="1" x="4235"/>
        <item m="1" x="3533"/>
        <item m="1" x="3160"/>
        <item m="1" x="4027"/>
        <item m="1" x="3441"/>
        <item m="1" x="2389"/>
        <item m="1" x="2197"/>
        <item m="1" x="1892"/>
        <item m="1" x="2601"/>
        <item m="1" x="2837"/>
        <item m="1" x="2893"/>
        <item m="1" x="4100"/>
        <item m="1" x="1340"/>
        <item m="1" x="1635"/>
        <item m="1" x="1079"/>
        <item m="1" x="1323"/>
        <item m="1" x="1698"/>
        <item m="1" x="3111"/>
        <item m="1" x="2723"/>
        <item m="1" x="1628"/>
        <item m="1" x="3543"/>
        <item x="174"/>
        <item m="1" x="1070"/>
        <item m="1" x="3873"/>
        <item m="1" x="4377"/>
        <item m="1" x="4059"/>
        <item x="5"/>
        <item m="1" x="700"/>
        <item m="1" x="2843"/>
        <item m="1" x="1928"/>
        <item m="1" x="2513"/>
        <item m="1" x="4792"/>
        <item m="1" x="1347"/>
        <item m="1" x="2277"/>
        <item m="1" x="2035"/>
        <item x="144"/>
        <item m="1" x="3846"/>
        <item m="1" x="2575"/>
        <item m="1" x="4182"/>
        <item m="1" x="1387"/>
        <item x="91"/>
        <item m="1" x="2610"/>
        <item m="1" x="4341"/>
        <item m="1" x="2026"/>
        <item m="1" x="4169"/>
        <item m="1" x="688"/>
        <item m="1" x="2179"/>
        <item m="1" x="3854"/>
        <item m="1" x="2325"/>
        <item m="1" x="3702"/>
        <item m="1" x="3607"/>
        <item m="1" x="908"/>
        <item m="1" x="4685"/>
        <item m="1" x="2968"/>
        <item m="1" x="1780"/>
        <item m="1" x="2553"/>
        <item m="1" x="4764"/>
        <item m="1" x="2459"/>
        <item m="1" x="4339"/>
        <item x="433"/>
        <item m="1" x="1965"/>
        <item m="1" x="603"/>
        <item m="1" x="4666"/>
        <item m="1" x="4663"/>
        <item m="1" x="848"/>
        <item m="1" x="1235"/>
        <item m="1" x="3450"/>
        <item m="1" x="3594"/>
        <item x="349"/>
        <item m="1" x="2267"/>
        <item m="1" x="4813"/>
        <item m="1" x="3810"/>
        <item m="1" x="1160"/>
        <item m="1" x="3296"/>
        <item m="1" x="2103"/>
        <item m="1" x="1972"/>
        <item m="1" x="4001"/>
        <item x="2"/>
        <item x="505"/>
        <item x="132"/>
        <item m="1" x="4046"/>
        <item x="131"/>
        <item m="1" x="1442"/>
        <item m="1" x="2811"/>
        <item m="1" x="1233"/>
        <item m="1" x="1902"/>
        <item m="1" x="2025"/>
        <item m="1" x="902"/>
        <item m="1" x="4138"/>
        <item m="1" x="4941"/>
        <item m="1" x="3185"/>
        <item m="1" x="4781"/>
        <item m="1" x="1034"/>
        <item m="1" x="2251"/>
        <item m="1" x="3381"/>
        <item m="1" x="3734"/>
        <item m="1" x="1116"/>
        <item m="1" x="3651"/>
        <item m="1" x="4756"/>
        <item m="1" x="1295"/>
        <item m="1" x="2111"/>
        <item m="1" x="2439"/>
        <item m="1" x="870"/>
        <item m="1" x="816"/>
        <item m="1" x="3632"/>
        <item x="461"/>
        <item m="1" x="922"/>
        <item m="1" x="2602"/>
        <item m="1" x="2057"/>
        <item m="1" x="1017"/>
        <item m="1" x="3742"/>
        <item x="327"/>
        <item m="1" x="866"/>
        <item m="1" x="1081"/>
        <item m="1" x="960"/>
        <item m="1" x="2499"/>
        <item m="1" x="3539"/>
        <item m="1" x="4269"/>
        <item m="1" x="3895"/>
        <item m="1" x="3565"/>
        <item x="277"/>
        <item m="1" x="1663"/>
        <item m="1" x="3693"/>
        <item m="1" x="3354"/>
        <item m="1" x="2993"/>
        <item m="1" x="936"/>
        <item m="1" x="1018"/>
        <item m="1" x="3091"/>
        <item m="1" x="1477"/>
        <item m="1" x="2616"/>
        <item m="1" x="4096"/>
        <item m="1" x="4109"/>
        <item m="1" x="2079"/>
        <item m="1" x="2827"/>
        <item x="129"/>
        <item m="1" x="605"/>
        <item m="1" x="2745"/>
        <item x="61"/>
        <item m="1" x="984"/>
        <item m="1" x="4824"/>
        <item m="1" x="3058"/>
        <item m="1" x="692"/>
        <item x="251"/>
        <item m="1" x="2860"/>
        <item m="1" x="990"/>
        <item x="111"/>
        <item m="1" x="3151"/>
        <item m="1" x="2565"/>
        <item m="1" x="616"/>
        <item m="1" x="2773"/>
        <item m="1" x="755"/>
        <item m="1" x="2167"/>
        <item m="1" x="3078"/>
        <item m="1" x="1333"/>
        <item m="1" x="1570"/>
        <item m="1" x="1469"/>
        <item x="88"/>
        <item m="1" x="3063"/>
        <item x="206"/>
        <item m="1" x="4085"/>
        <item m="1" x="3975"/>
        <item x="65"/>
        <item m="1" x="4897"/>
        <item m="1" x="4183"/>
        <item m="1" x="4896"/>
        <item m="1" x="3027"/>
        <item m="1" x="4328"/>
        <item m="1" x="4784"/>
        <item m="1" x="4019"/>
        <item m="1" x="4761"/>
        <item m="1" x="2732"/>
        <item m="1" x="3147"/>
        <item m="1" x="4438"/>
        <item m="1" x="3148"/>
        <item m="1" x="4914"/>
        <item m="1" x="3292"/>
        <item m="1" x="3505"/>
        <item x="429"/>
        <item m="1" x="4378"/>
        <item m="1" x="2830"/>
        <item m="1" x="3767"/>
        <item m="1" x="855"/>
        <item m="1" x="1898"/>
        <item m="1" x="2545"/>
        <item m="1" x="3684"/>
        <item m="1" x="4957"/>
        <item m="1" x="2268"/>
        <item m="1" x="1150"/>
        <item m="1" x="4063"/>
        <item m="1" x="2796"/>
        <item x="438"/>
        <item m="1" x="4654"/>
        <item m="1" x="2301"/>
        <item m="1" x="3648"/>
        <item m="1" x="909"/>
        <item m="1" x="3950"/>
        <item m="1" x="3422"/>
        <item x="237"/>
        <item m="1" x="1390"/>
        <item m="1" x="3218"/>
        <item m="1" x="4091"/>
        <item m="1" x="1174"/>
        <item x="321"/>
        <item m="1" x="1000"/>
        <item x="593"/>
        <item m="1" x="3324"/>
        <item m="1" x="2176"/>
        <item m="1" x="2273"/>
        <item m="1" x="793"/>
        <item m="1" x="2022"/>
        <item m="1" x="1590"/>
        <item m="1" x="4817"/>
        <item m="1" x="772"/>
        <item m="1" x="2535"/>
        <item m="1" x="3655"/>
        <item m="1" x="754"/>
        <item x="228"/>
        <item m="1" x="3879"/>
        <item m="1" x="636"/>
        <item m="1" x="3365"/>
        <item m="1" x="2151"/>
        <item m="1" x="3409"/>
        <item m="1" x="1951"/>
        <item m="1" x="4389"/>
        <item m="1" x="3701"/>
        <item m="1" x="3137"/>
        <item m="1" x="2200"/>
        <item m="1" x="3904"/>
        <item m="1" x="4277"/>
        <item m="1" x="1431"/>
        <item m="1" x="951"/>
        <item m="1" x="2457"/>
        <item m="1" x="2805"/>
        <item m="1" x="4943"/>
        <item x="107"/>
        <item m="1" x="2052"/>
        <item m="1" x="3106"/>
        <item m="1" x="3816"/>
        <item m="1" x="659"/>
        <item m="1" x="3326"/>
        <item m="1" x="4833"/>
        <item m="1" x="2343"/>
        <item m="1" x="3350"/>
        <item m="1" x="2977"/>
        <item m="1" x="2344"/>
        <item m="1" x="4391"/>
        <item m="1" x="2687"/>
        <item m="1" x="1131"/>
        <item m="1" x="2626"/>
        <item m="1" x="1171"/>
        <item x="314"/>
        <item m="1" x="3420"/>
        <item m="1" x="4574"/>
        <item m="1" x="4839"/>
        <item m="1" x="4152"/>
        <item m="1" x="1277"/>
        <item m="1" x="4662"/>
        <item x="320"/>
        <item m="1" x="2427"/>
        <item m="1" x="4175"/>
        <item m="1" x="4520"/>
        <item m="1" x="2566"/>
        <item m="1" x="3072"/>
        <item x="441"/>
        <item m="1" x="3169"/>
        <item m="1" x="1368"/>
        <item x="162"/>
        <item m="1" x="4090"/>
        <item m="1" x="4397"/>
        <item m="1" x="4075"/>
        <item m="1" x="4340"/>
        <item m="1" x="3797"/>
        <item m="1" x="3204"/>
        <item m="1" x="2781"/>
        <item m="1" x="4849"/>
        <item m="1" x="4421"/>
        <item m="1" x="687"/>
        <item m="1" x="3620"/>
        <item m="1" x="3357"/>
        <item x="546"/>
        <item m="1" x="4071"/>
        <item x="80"/>
        <item m="1" x="3690"/>
        <item x="506"/>
        <item m="1" x="3964"/>
        <item m="1" x="1128"/>
        <item x="7"/>
        <item m="1" x="3980"/>
        <item m="1" x="4457"/>
        <item m="1" x="2916"/>
        <item m="1" x="4453"/>
        <item m="1" x="2400"/>
        <item m="1" x="1355"/>
        <item m="1" x="1926"/>
        <item m="1" x="2099"/>
        <item m="1" x="3946"/>
        <item m="1" x="4481"/>
        <item m="1" x="4667"/>
        <item m="1" x="4266"/>
        <item m="1" x="4802"/>
        <item m="1" x="1129"/>
        <item m="1" x="1636"/>
        <item m="1" x="2375"/>
        <item m="1" x="1686"/>
        <item m="1" x="3068"/>
        <item m="1" x="2213"/>
        <item m="1" x="4070"/>
        <item m="1" x="3519"/>
        <item m="1" x="3920"/>
        <item m="1" x="2465"/>
        <item m="1" x="2381"/>
        <item m="1" x="4538"/>
        <item m="1" x="3260"/>
        <item m="1" x="2473"/>
        <item m="1" x="1942"/>
        <item x="585"/>
        <item m="1" x="878"/>
        <item m="1" x="3319"/>
        <item x="22"/>
        <item m="1" x="3927"/>
        <item m="1" x="3224"/>
        <item m="1" x="4279"/>
        <item m="1" x="1538"/>
        <item m="1" x="3674"/>
        <item m="1" x="3740"/>
        <item m="1" x="1714"/>
        <item x="114"/>
        <item m="1" x="3570"/>
        <item m="1" x="4311"/>
        <item m="1" x="2475"/>
        <item m="1" x="1108"/>
        <item m="1" x="3156"/>
        <item x="73"/>
        <item m="1" x="4692"/>
        <item m="1" x="3669"/>
        <item m="1" x="4950"/>
        <item m="1" x="1213"/>
        <item m="1" x="1700"/>
        <item m="1" x="3673"/>
        <item m="1" x="4058"/>
        <item m="1" x="3891"/>
        <item m="1" x="4470"/>
        <item m="1" x="1655"/>
        <item m="1" x="2786"/>
        <item m="1" x="1554"/>
        <item m="1" x="4092"/>
        <item m="1" x="841"/>
        <item m="1" x="1784"/>
        <item x="389"/>
        <item m="1" x="4485"/>
        <item x="501"/>
        <item m="1" x="1837"/>
        <item x="410"/>
        <item m="1" x="1009"/>
        <item m="1" x="4765"/>
        <item x="301"/>
        <item m="1" x="4337"/>
        <item x="365"/>
        <item m="1" x="1937"/>
        <item m="1" x="3942"/>
        <item m="1" x="4312"/>
        <item m="1" x="1212"/>
        <item m="1" x="4860"/>
        <item m="1" x="2189"/>
        <item m="1" x="2557"/>
        <item x="382"/>
        <item m="1" x="4171"/>
        <item m="1" x="1767"/>
        <item m="1" x="2485"/>
        <item m="1" x="1578"/>
        <item m="1" x="3979"/>
        <item m="1" x="1853"/>
        <item m="1" x="1261"/>
        <item m="1" x="1091"/>
        <item m="1" x="4131"/>
        <item m="1" x="4586"/>
        <item m="1" x="3558"/>
        <item m="1" x="3019"/>
        <item m="1" x="1258"/>
        <item m="1" x="986"/>
        <item x="305"/>
        <item m="1" x="2607"/>
        <item m="1" x="1445"/>
        <item m="1" x="4448"/>
        <item m="1" x="856"/>
        <item m="1" x="4176"/>
        <item m="1" x="3830"/>
        <item m="1" x="3366"/>
        <item m="1" x="4267"/>
        <item m="1" x="1987"/>
        <item m="1" x="884"/>
        <item m="1" x="726"/>
        <item m="1" x="4320"/>
        <item m="1" x="4743"/>
        <item m="1" x="1877"/>
        <item m="1" x="1299"/>
        <item m="1" x="2740"/>
        <item m="1" x="1251"/>
        <item m="1" x="3529"/>
        <item m="1" x="2891"/>
        <item m="1" x="4566"/>
        <item m="1" x="2133"/>
        <item m="1" x="661"/>
        <item m="1" x="2292"/>
        <item m="1" x="3787"/>
        <item m="1" x="2984"/>
        <item m="1" x="3971"/>
        <item m="1" x="2061"/>
        <item m="1" x="1946"/>
        <item x="278"/>
        <item m="1" x="2793"/>
        <item m="1" x="3286"/>
        <item m="1" x="4064"/>
        <item m="1" x="4622"/>
        <item m="1" x="3026"/>
        <item x="318"/>
        <item m="1" x="1163"/>
        <item m="1" x="1286"/>
        <item m="1" x="3270"/>
        <item m="1" x="1316"/>
        <item m="1" x="2016"/>
        <item m="1" x="4386"/>
        <item m="1" x="4564"/>
        <item m="1" x="645"/>
        <item m="1" x="2942"/>
        <item m="1" x="2615"/>
        <item m="1" x="2523"/>
        <item m="1" x="3866"/>
        <item m="1" x="2182"/>
        <item m="1" x="4116"/>
        <item m="1" x="2303"/>
        <item m="1" x="2881"/>
        <item x="240"/>
        <item m="1" x="762"/>
        <item m="1" x="3355"/>
        <item m="1" x="4642"/>
        <item m="1" x="2398"/>
        <item m="1" x="4412"/>
        <item m="1" x="3781"/>
        <item m="1" x="3125"/>
        <item m="1" x="987"/>
        <item m="1" x="3369"/>
        <item m="1" x="2053"/>
        <item m="1" x="4942"/>
        <item m="1" x="2338"/>
        <item m="1" x="1096"/>
        <item m="1" x="3442"/>
        <item m="1" x="4863"/>
        <item m="1" x="3135"/>
        <item m="1" x="1791"/>
        <item m="1" x="4780"/>
        <item m="1" x="4013"/>
        <item x="193"/>
        <item m="1" x="3117"/>
        <item m="1" x="1956"/>
        <item m="1" x="3871"/>
        <item m="1" x="3494"/>
        <item m="1" x="4228"/>
        <item m="1" x="4722"/>
        <item m="1" x="3159"/>
        <item x="243"/>
        <item m="1" x="2703"/>
        <item m="1" x="3877"/>
        <item m="1" x="4760"/>
        <item m="1" x="3247"/>
        <item m="1" x="1246"/>
        <item x="163"/>
        <item m="1" x="3031"/>
        <item m="1" x="972"/>
        <item m="1" x="2679"/>
        <item m="1" x="3109"/>
        <item m="1" x="2118"/>
        <item m="1" x="1020"/>
        <item m="1" x="2753"/>
        <item m="1" x="4777"/>
        <item x="391"/>
        <item m="1" x="2908"/>
        <item m="1" x="2774"/>
        <item m="1" x="2569"/>
        <item m="1" x="4463"/>
        <item m="1" x="4477"/>
        <item m="1" x="2152"/>
        <item m="1" x="1243"/>
        <item m="1" x="2056"/>
        <item m="1" x="4086"/>
        <item x="379"/>
        <item m="1" x="2431"/>
        <item m="1" x="1966"/>
        <item m="1" x="2780"/>
        <item m="1" x="3267"/>
        <item m="1" x="4089"/>
        <item m="1" x="2934"/>
        <item m="1" x="3415"/>
        <item x="343"/>
        <item m="1" x="4264"/>
        <item m="1" x="1495"/>
        <item m="1" x="2909"/>
        <item m="1" x="3619"/>
        <item m="1" x="2206"/>
        <item m="1" x="3285"/>
        <item m="1" x="2794"/>
        <item m="1" x="1292"/>
        <item m="1" x="3379"/>
        <item m="1" x="3775"/>
        <item m="1" x="1683"/>
        <item m="1" x="3434"/>
        <item m="1" x="1158"/>
        <item x="561"/>
        <item m="1" x="2135"/>
        <item m="1" x="2736"/>
        <item m="1" x="1225"/>
        <item x="332"/>
        <item x="116"/>
        <item x="89"/>
        <item m="1" x="1437"/>
        <item x="574"/>
        <item m="1" x="2573"/>
        <item m="1" x="4709"/>
        <item m="1" x="1671"/>
        <item m="1" x="1986"/>
        <item m="1" x="652"/>
        <item x="466"/>
        <item m="1" x="1237"/>
        <item m="1" x="1275"/>
        <item m="1" x="1749"/>
        <item m="1" x="4259"/>
        <item x="294"/>
        <item x="418"/>
        <item m="1" x="1500"/>
        <item m="1" x="4978"/>
        <item m="1" x="3307"/>
        <item m="1" x="3044"/>
        <item m="1" x="1577"/>
        <item m="1" x="2074"/>
        <item m="1" x="3152"/>
        <item m="1" x="3676"/>
        <item m="1" x="2069"/>
        <item m="1" x="1371"/>
        <item m="1" x="3146"/>
        <item m="1" x="1310"/>
        <item m="1" x="910"/>
        <item m="1" x="1106"/>
        <item m="1" x="967"/>
        <item m="1" x="1357"/>
        <item m="1" x="2998"/>
        <item m="1" x="4850"/>
        <item m="1" x="1273"/>
        <item m="1" x="890"/>
        <item m="1" x="1465"/>
        <item m="1" x="2928"/>
        <item m="1" x="1285"/>
        <item m="1" x="3093"/>
        <item m="1" x="2196"/>
        <item m="1" x="2718"/>
        <item m="1" x="2062"/>
        <item x="295"/>
        <item m="1" x="3275"/>
        <item m="1" x="1215"/>
        <item m="1" x="3278"/>
        <item x="296"/>
        <item m="1" x="3857"/>
        <item m="1" x="1904"/>
        <item m="1" x="2458"/>
        <item m="1" x="4037"/>
        <item m="1" x="2080"/>
        <item m="1" x="4534"/>
        <item x="395"/>
        <item m="1" x="1831"/>
        <item m="1" x="1482"/>
        <item m="1" x="1930"/>
        <item m="1" x="2677"/>
        <item m="1" x="2930"/>
        <item m="1" x="3814"/>
        <item m="1" x="761"/>
        <item x="567"/>
        <item m="1" x="1503"/>
        <item m="1" x="3100"/>
        <item m="1" x="4528"/>
        <item m="1" x="3416"/>
        <item m="1" x="3374"/>
        <item m="1" x="4955"/>
        <item m="1" x="2104"/>
        <item m="1" x="644"/>
        <item m="1" x="1055"/>
        <item x="54"/>
        <item x="329"/>
        <item m="1" x="1031"/>
        <item m="1" x="4224"/>
        <item m="1" x="4174"/>
        <item m="1" x="3408"/>
        <item m="1" x="780"/>
        <item m="1" x="2823"/>
        <item m="1" x="3820"/>
        <item m="1" x="4707"/>
        <item m="1" x="4971"/>
        <item x="81"/>
        <item m="1" x="2115"/>
        <item m="1" x="3576"/>
        <item m="1" x="4651"/>
        <item x="191"/>
        <item m="1" x="3165"/>
        <item m="1" x="4304"/>
        <item m="1" x="778"/>
        <item x="573"/>
        <item m="1" x="945"/>
        <item m="1" x="1449"/>
        <item x="422"/>
        <item m="1" x="1025"/>
        <item m="1" x="3514"/>
        <item m="1" x="655"/>
        <item m="1" x="2190"/>
        <item x="98"/>
        <item m="1" x="1649"/>
        <item m="1" x="4326"/>
        <item m="1" x="3468"/>
        <item m="1" x="985"/>
        <item m="1" x="1342"/>
        <item m="1" x="4763"/>
        <item x="448"/>
        <item m="1" x="2576"/>
        <item m="1" x="4804"/>
        <item m="1" x="2970"/>
        <item m="1" x="1530"/>
        <item m="1" x="4271"/>
        <item m="1" x="2550"/>
        <item m="1" x="1644"/>
        <item m="1" x="3552"/>
        <item m="1" x="935"/>
        <item m="1" x="4307"/>
        <item m="1" x="2644"/>
        <item x="74"/>
        <item m="1" x="3008"/>
        <item m="1" x="2278"/>
        <item m="1" x="4482"/>
        <item m="1" x="2957"/>
        <item m="1" x="2374"/>
        <item m="1" x="3599"/>
        <item m="1" x="917"/>
        <item m="1" x="2604"/>
        <item m="1" x="2397"/>
        <item m="1" x="4547"/>
        <item m="1" x="608"/>
        <item x="393"/>
        <item m="1" x="3919"/>
        <item m="1" x="4369"/>
        <item x="299"/>
        <item m="1" x="1201"/>
        <item m="1" x="3680"/>
        <item x="178"/>
        <item m="1" x="2349"/>
        <item m="1" x="2001"/>
        <item m="1" x="4049"/>
        <item m="1" x="4467"/>
        <item m="1" x="3375"/>
        <item m="1" x="2795"/>
        <item m="1" x="1968"/>
        <item m="1" x="2409"/>
        <item m="1" x="1624"/>
        <item m="1" x="4815"/>
        <item m="1" x="3112"/>
        <item m="1" x="2589"/>
        <item m="1" x="1753"/>
        <item m="1" x="4119"/>
        <item x="353"/>
        <item m="1" x="2861"/>
        <item m="1" x="2708"/>
        <item m="1" x="1882"/>
        <item m="1" x="950"/>
        <item m="1" x="1269"/>
        <item m="1" x="2538"/>
        <item m="1" x="3522"/>
        <item m="1" x="3443"/>
        <item m="1" x="3298"/>
        <item m="1" x="2046"/>
        <item m="1" x="4074"/>
        <item x="547"/>
        <item m="1" x="2455"/>
        <item m="1" x="2654"/>
        <item x="571"/>
        <item m="1" x="3454"/>
        <item m="1" x="2689"/>
        <item m="1" x="1058"/>
        <item m="1" x="3184"/>
        <item m="1" x="683"/>
        <item m="1" x="2285"/>
        <item m="1" x="685"/>
        <item m="1" x="4190"/>
        <item m="1" x="3959"/>
        <item m="1" x="725"/>
        <item m="1" x="4592"/>
        <item m="1" x="4757"/>
        <item x="558"/>
        <item m="1" x="4755"/>
        <item x="209"/>
        <item m="1" x="2634"/>
        <item m="1" x="1110"/>
        <item m="1" x="1109"/>
        <item m="1" x="1739"/>
        <item m="1" x="4097"/>
        <item m="1" x="1475"/>
        <item m="1" x="2160"/>
        <item x="208"/>
        <item m="1" x="3126"/>
        <item m="1" x="1923"/>
        <item x="239"/>
        <item m="1" x="1010"/>
        <item m="1" x="2907"/>
        <item m="1" x="1074"/>
        <item m="1" x="913"/>
        <item m="1" x="2973"/>
        <item m="1" x="2961"/>
        <item m="1" x="2384"/>
        <item m="1" x="3429"/>
        <item m="1" x="3564"/>
        <item m="1" x="3773"/>
        <item m="1" x="2962"/>
        <item m="1" x="2395"/>
        <item m="1" x="606"/>
        <item m="1" x="3863"/>
        <item m="1" x="3566"/>
        <item m="1" x="2413"/>
        <item m="1" x="3706"/>
        <item m="1" x="2208"/>
        <item m="1" x="4144"/>
        <item m="1" x="1948"/>
        <item m="1" x="2394"/>
        <item m="1" x="3438"/>
        <item m="1" x="4882"/>
        <item m="1" x="3977"/>
        <item m="1" x="2468"/>
        <item m="1" x="3649"/>
        <item m="1" x="2946"/>
        <item m="1" x="3937"/>
        <item m="1" x="4475"/>
        <item m="1" x="3720"/>
        <item m="1" x="3672"/>
        <item m="1" x="3291"/>
        <item m="1" x="3371"/>
        <item m="1" x="2953"/>
        <item m="1" x="748"/>
        <item m="1" x="1585"/>
        <item x="274"/>
        <item m="1" x="3212"/>
        <item m="1" x="4509"/>
        <item m="1" x="3725"/>
        <item m="1" x="4972"/>
        <item m="1" x="2396"/>
        <item m="1" x="1765"/>
        <item x="127"/>
        <item m="1" x="4840"/>
        <item x="436"/>
        <item m="1" x="2876"/>
        <item m="1" x="3373"/>
        <item m="1" x="1794"/>
        <item m="1" x="623"/>
        <item m="1" x="1550"/>
        <item m="1" x="2944"/>
        <item x="157"/>
        <item m="1" x="2558"/>
        <item m="1" x="1523"/>
        <item m="1" x="1657"/>
        <item m="1" x="2169"/>
        <item m="1" x="2291"/>
        <item m="1" x="2047"/>
        <item m="1" x="882"/>
        <item m="1" x="4577"/>
        <item m="1" x="4324"/>
        <item m="1" x="927"/>
        <item m="1" x="2933"/>
        <item m="1" x="719"/>
        <item m="1" x="1195"/>
        <item m="1" x="2263"/>
        <item m="1" x="4167"/>
        <item m="1" x="620"/>
        <item m="1" x="4344"/>
        <item x="494"/>
        <item m="1" x="3731"/>
        <item m="1" x="2141"/>
        <item m="1" x="958"/>
        <item m="1" x="4864"/>
        <item m="1" x="3768"/>
        <item m="1" x="689"/>
        <item m="1" x="4012"/>
        <item m="1" x="2804"/>
        <item m="1" x="3074"/>
        <item x="133"/>
        <item m="1" x="4949"/>
        <item m="1" x="4442"/>
        <item m="1" x="4310"/>
        <item m="1" x="4400"/>
        <item m="1" x="3753"/>
        <item m="1" x="4300"/>
        <item m="1" x="925"/>
        <item m="1" x="2940"/>
        <item m="1" x="741"/>
        <item m="1" x="2894"/>
        <item m="1" x="4432"/>
        <item m="1" x="2542"/>
        <item m="1" x="1852"/>
        <item m="1" x="4268"/>
        <item m="1" x="3588"/>
        <item m="1" x="4699"/>
        <item m="1" x="4025"/>
        <item m="1" x="3616"/>
        <item m="1" x="1152"/>
        <item m="1" x="2696"/>
        <item m="1" x="1474"/>
        <item m="1" x="4103"/>
        <item m="1" x="1647"/>
        <item m="1" x="4607"/>
        <item m="1" x="2516"/>
        <item m="1" x="4693"/>
        <item m="1" x="4023"/>
        <item m="1" x="1254"/>
        <item m="1" x="3430"/>
        <item m="1" x="4865"/>
        <item m="1" x="3356"/>
        <item m="1" x="1185"/>
        <item m="1" x="2110"/>
        <item m="1" x="867"/>
        <item m="1" x="1812"/>
        <item m="1" x="3067"/>
        <item m="1" x="1888"/>
        <item m="1" x="3069"/>
        <item x="445"/>
        <item x="267"/>
        <item m="1" x="4579"/>
        <item x="219"/>
        <item m="1" x="1681"/>
        <item m="1" x="4488"/>
        <item m="1" x="1491"/>
        <item x="40"/>
        <item m="1" x="1159"/>
        <item m="1" x="995"/>
        <item m="1" x="2054"/>
        <item m="1" x="896"/>
        <item m="1" x="1014"/>
        <item m="1" x="1408"/>
        <item m="1" x="3683"/>
        <item m="1" x="2568"/>
        <item m="1" x="3123"/>
        <item m="1" x="3735"/>
        <item m="1" x="2388"/>
        <item x="216"/>
        <item m="1" x="4385"/>
        <item m="1" x="4294"/>
        <item m="1" x="2759"/>
        <item m="1" x="3017"/>
        <item m="1" x="1006"/>
        <item m="1" x="2955"/>
        <item m="1" x="1204"/>
        <item m="1" x="3633"/>
        <item x="145"/>
        <item x="95"/>
        <item m="1" x="1924"/>
        <item x="67"/>
        <item m="1" x="2741"/>
        <item m="1" x="932"/>
        <item m="1" x="3603"/>
        <item m="1" x="4348"/>
        <item m="1" x="1228"/>
        <item m="1" x="3447"/>
        <item m="1" x="1906"/>
        <item x="602"/>
        <item m="1" x="803"/>
        <item m="1" x="4788"/>
        <item m="1" x="1808"/>
        <item m="1" x="4970"/>
        <item m="1" x="2921"/>
        <item m="1" x="4545"/>
        <item m="1" x="3271"/>
        <item m="1" x="1050"/>
        <item m="1" x="3527"/>
        <item m="1" x="1750"/>
        <item m="1" x="885"/>
        <item m="1" x="1180"/>
        <item m="1" x="3841"/>
        <item m="1" x="3896"/>
        <item m="1" x="3642"/>
        <item m="1" x="4121"/>
        <item m="1" x="3790"/>
        <item m="1" x="4405"/>
        <item m="1" x="2114"/>
        <item m="1" x="4251"/>
        <item m="1" x="2878"/>
        <item x="373"/>
        <item m="1" x="3007"/>
        <item m="1" x="3515"/>
        <item m="1" x="3557"/>
        <item m="1" x="1252"/>
        <item m="1" x="2715"/>
        <item x="179"/>
        <item x="472"/>
        <item x="26"/>
        <item m="1" x="1595"/>
        <item m="1" x="3449"/>
        <item m="1" x="4843"/>
        <item m="1" x="4376"/>
        <item m="1" x="4679"/>
        <item m="1" x="1216"/>
        <item m="1" x="830"/>
        <item m="1" x="617"/>
        <item m="1" x="1311"/>
        <item m="1" x="2078"/>
        <item x="285"/>
        <item m="1" x="1513"/>
        <item m="1" x="923"/>
        <item m="1" x="1707"/>
        <item x="232"/>
        <item m="1" x="2163"/>
        <item m="1" x="1521"/>
        <item m="1" x="1650"/>
        <item m="1" x="4032"/>
        <item m="1" x="2875"/>
        <item x="491"/>
        <item m="1" x="4542"/>
        <item m="1" x="1402"/>
        <item m="1" x="4384"/>
        <item m="1" x="2594"/>
        <item m="1" x="1490"/>
        <item m="1" x="854"/>
        <item m="1" x="3842"/>
        <item m="1" x="3612"/>
        <item x="570"/>
        <item m="1" x="2922"/>
        <item m="1" x="2670"/>
        <item m="1" x="3182"/>
        <item m="1" x="3395"/>
        <item m="1" x="4559"/>
        <item m="1" x="4601"/>
        <item m="1" x="965"/>
        <item m="1" x="4848"/>
        <item m="1" x="799"/>
        <item m="1" x="3300"/>
        <item m="1" x="1613"/>
        <item m="1" x="1433"/>
        <item m="1" x="3353"/>
        <item m="1" x="4161"/>
        <item m="1" x="2923"/>
        <item m="1" x="3376"/>
        <item m="1" x="2454"/>
        <item m="1" x="4403"/>
        <item m="1" x="2332"/>
        <item m="1" x="3336"/>
        <item m="1" x="3707"/>
        <item m="1" x="1822"/>
        <item m="1" x="759"/>
        <item m="1" x="2506"/>
        <item m="1" x="3488"/>
        <item m="1" x="699"/>
        <item m="1" x="1122"/>
        <item m="1" x="1089"/>
        <item m="1" x="1981"/>
        <item m="1" x="2919"/>
        <item x="477"/>
        <item m="1" x="723"/>
        <item m="1" x="4014"/>
        <item m="1" x="2826"/>
        <item m="1" x="3361"/>
        <item m="1" x="1604"/>
        <item m="1" x="2559"/>
        <item m="1" x="4095"/>
        <item x="580"/>
        <item m="1" x="731"/>
        <item m="1" x="4959"/>
        <item m="1" x="2798"/>
        <item x="141"/>
        <item m="1" x="1746"/>
        <item m="1" x="4894"/>
        <item m="1" x="941"/>
        <item m="1" x="4262"/>
        <item m="1" x="3280"/>
        <item x="0"/>
        <item m="1" x="1105"/>
        <item m="1" x="4217"/>
        <item m="1" x="4425"/>
        <item m="1" x="843"/>
        <item x="1"/>
        <item m="1" x="4593"/>
        <item m="1" x="1032"/>
        <item m="1" x="1098"/>
        <item m="1" x="4814"/>
        <item m="1" x="2192"/>
        <item m="1" x="911"/>
        <item m="1" x="4900"/>
        <item m="1" x="3362"/>
        <item m="1" x="1035"/>
        <item m="1" x="997"/>
        <item m="1" x="1771"/>
        <item m="1" x="3584"/>
        <item m="1" x="4511"/>
        <item m="1" x="1461"/>
        <item m="1" x="3513"/>
        <item x="542"/>
        <item m="1" x="2442"/>
        <item m="1" x="4830"/>
        <item m="1" x="1541"/>
        <item m="1" x="2629"/>
        <item m="1" x="1606"/>
        <item x="41"/>
        <item m="1" x="2165"/>
        <item m="1" x="613"/>
        <item m="1" x="2129"/>
        <item m="1" x="1435"/>
        <item m="1" x="711"/>
        <item m="1" x="1977"/>
        <item m="1" x="1840"/>
        <item x="554"/>
        <item m="1" x="1762"/>
        <item x="222"/>
        <item m="1" x="2423"/>
        <item m="1" x="2032"/>
        <item m="1" x="817"/>
        <item m="1" x="1263"/>
        <item m="1" x="2849"/>
        <item m="1" x="1884"/>
        <item m="1" x="2307"/>
        <item m="1" x="3510"/>
        <item x="406"/>
        <item m="1" x="1155"/>
        <item m="1" x="3878"/>
        <item m="1" x="1305"/>
        <item m="1" x="3811"/>
        <item x="453"/>
        <item m="1" x="2883"/>
        <item m="1" x="4818"/>
        <item m="1" x="747"/>
        <item m="1" x="1569"/>
        <item m="1" x="1376"/>
        <item m="1" x="4440"/>
        <item x="235"/>
        <item m="1" x="3232"/>
        <item m="1" x="1518"/>
        <item m="1" x="721"/>
        <item m="1" x="714"/>
        <item m="1" x="2241"/>
        <item m="1" x="3153"/>
        <item x="384"/>
        <item m="1" x="3667"/>
        <item m="1" x="3699"/>
        <item m="1" x="2681"/>
        <item m="1" x="658"/>
        <item m="1" x="2246"/>
        <item m="1" x="4981"/>
        <item m="1" x="4166"/>
        <item m="1" x="4884"/>
        <item m="1" x="3784"/>
        <item m="1" x="3661"/>
        <item m="1" x="3203"/>
        <item m="1" x="1507"/>
        <item m="1" x="1205"/>
        <item m="1" x="953"/>
        <item m="1" x="1512"/>
        <item m="1" x="3325"/>
        <item m="1" x="1612"/>
        <item m="1" x="2505"/>
        <item m="1" x="1861"/>
        <item m="1" x="4004"/>
        <item x="90"/>
        <item m="1" x="1741"/>
        <item m="1" x="3917"/>
        <item m="1" x="3845"/>
        <item m="1" x="3229"/>
        <item m="1" x="868"/>
        <item x="265"/>
        <item x="333"/>
        <item m="1" x="1598"/>
        <item m="1" x="4209"/>
        <item m="1" x="3988"/>
        <item m="1" x="1716"/>
        <item m="1" x="934"/>
        <item m="1" x="3872"/>
        <item m="1" x="2177"/>
        <item x="579"/>
        <item x="247"/>
        <item m="1" x="2725"/>
        <item m="1" x="4471"/>
        <item m="1" x="4250"/>
        <item m="1" x="4380"/>
        <item x="104"/>
        <item m="1" x="1795"/>
        <item m="1" x="2148"/>
        <item m="1" x="3193"/>
        <item m="1" x="3465"/>
        <item m="1" x="1964"/>
        <item m="1" x="2350"/>
        <item m="1" x="1743"/>
        <item m="1" x="3043"/>
        <item m="1" x="4982"/>
        <item m="1" x="4658"/>
        <item m="1" x="1586"/>
        <item m="1" x="4227"/>
        <item m="1" x="1224"/>
        <item m="1" x="2496"/>
        <item m="1" x="3801"/>
        <item m="1" x="2831"/>
        <item m="1" x="3627"/>
        <item x="275"/>
        <item m="1" x="2698"/>
        <item m="1" x="3190"/>
        <item x="566"/>
        <item m="1" x="2517"/>
        <item m="1" x="1979"/>
        <item m="1" x="2320"/>
        <item m="1" x="2051"/>
        <item m="1" x="1113"/>
        <item m="1" x="937"/>
        <item m="1" x="2333"/>
        <item m="1" x="660"/>
        <item m="1" x="1499"/>
        <item m="1" x="1833"/>
        <item m="1" x="4820"/>
        <item m="1" x="4084"/>
        <item m="1" x="4204"/>
        <item m="1" x="3040"/>
        <item x="300"/>
        <item x="125"/>
        <item m="1" x="3596"/>
        <item m="1" x="2071"/>
        <item m="1" x="2068"/>
        <item m="1" x="2467"/>
        <item m="1" x="2986"/>
        <item m="1" x="2757"/>
        <item m="1" x="819"/>
        <item m="1" x="1264"/>
        <item x="357"/>
        <item m="1" x="1868"/>
        <item m="1" x="4931"/>
        <item m="1" x="4920"/>
        <item x="584"/>
        <item m="1" x="2507"/>
        <item m="1" x="619"/>
        <item m="1" x="673"/>
        <item m="1" x="2905"/>
        <item m="1" x="1041"/>
        <item m="1" x="853"/>
        <item m="1" x="2779"/>
        <item m="1" x="1670"/>
        <item m="1" x="3297"/>
        <item x="70"/>
        <item m="1" x="1379"/>
        <item m="1" x="3249"/>
        <item m="1" x="3723"/>
        <item m="1" x="2700"/>
        <item m="1" x="3554"/>
        <item m="1" x="1596"/>
        <item m="1" x="1745"/>
        <item m="1" x="1054"/>
        <item x="556"/>
        <item m="1" x="810"/>
        <item m="1" x="2220"/>
        <item m="1" x="4681"/>
        <item m="1" x="4415"/>
        <item x="405"/>
        <item m="1" x="4424"/>
        <item m="1" x="2228"/>
        <item x="309"/>
        <item m="1" x="3609"/>
        <item m="1" x="3692"/>
        <item x="87"/>
        <item m="1" x="2662"/>
        <item m="1" x="1712"/>
        <item m="1" x="3431"/>
        <item m="1" x="2252"/>
        <item m="1" x="3886"/>
        <item m="1" x="2556"/>
        <item m="1" x="3982"/>
        <item m="1" x="1944"/>
        <item m="1" x="1375"/>
        <item m="1" x="4507"/>
        <item m="1" x="3611"/>
        <item m="1" x="2127"/>
        <item m="1" x="1759"/>
        <item m="1" x="4776"/>
        <item x="552"/>
        <item x="36"/>
        <item x="149"/>
        <item m="1" x="3070"/>
        <item m="1" x="1789"/>
        <item m="1" x="3821"/>
        <item m="1" x="2451"/>
        <item x="315"/>
        <item m="1" x="4107"/>
        <item m="1" x="2674"/>
        <item x="543"/>
        <item x="504"/>
        <item m="1" x="3477"/>
        <item m="1" x="4746"/>
        <item m="1" x="883"/>
        <item m="1" x="975"/>
        <item m="1" x="4885"/>
        <item m="1" x="4423"/>
        <item m="1" x="892"/>
        <item m="1" x="2106"/>
        <item m="1" x="2354"/>
        <item m="1" x="3520"/>
        <item m="1" x="1498"/>
        <item m="1" x="4624"/>
        <item m="1" x="2509"/>
        <item m="1" x="3541"/>
        <item m="1" x="807"/>
        <item m="1" x="2547"/>
        <item m="1" x="2302"/>
        <item m="1" x="4297"/>
        <item m="1" x="1887"/>
        <item m="1" x="798"/>
        <item m="1" x="906"/>
        <item m="1" x="1544"/>
        <item m="1" x="2808"/>
        <item m="1" x="1648"/>
        <item x="581"/>
        <item x="601"/>
        <item m="1" x="1836"/>
        <item x="369"/>
        <item m="1" x="3223"/>
        <item m="1" x="2082"/>
        <item m="1" x="2975"/>
        <item m="1" x="1594"/>
        <item m="1" x="3315"/>
        <item x="262"/>
        <item x="288"/>
        <item m="1" x="2420"/>
        <item m="1" x="3567"/>
        <item m="1" x="3403"/>
        <item m="1" x="1576"/>
        <item m="1" x="2844"/>
        <item m="1" x="4173"/>
        <item m="1" x="1191"/>
        <item m="1" x="2164"/>
        <item m="1" x="4869"/>
        <item m="1" x="1048"/>
        <item m="1" x="1916"/>
        <item m="1" x="3048"/>
        <item m="1" x="4502"/>
        <item m="1" x="3817"/>
        <item m="1" x="4594"/>
        <item m="1" x="2008"/>
        <item m="1" x="2171"/>
        <item m="1" x="4357"/>
        <item m="1" x="1959"/>
        <item m="1" x="3265"/>
        <item m="1" x="862"/>
        <item m="1" x="4892"/>
        <item m="1" x="3045"/>
        <item m="1" x="1839"/>
        <item m="1" x="2210"/>
        <item m="1" x="4449"/>
        <item m="1" x="2925"/>
        <item m="1" x="4451"/>
        <item m="1" x="4986"/>
        <item m="1" x="3951"/>
        <item m="1" x="2168"/>
        <item m="1" x="1603"/>
        <item m="1" x="915"/>
        <item m="1" x="3295"/>
        <item m="1" x="3460"/>
        <item m="1" x="1227"/>
        <item m="1" x="1426"/>
        <item x="44"/>
        <item m="1" x="999"/>
        <item m="1" x="2871"/>
        <item m="1" x="2712"/>
        <item m="1" x="4196"/>
        <item m="1" x="4231"/>
        <item m="1" x="3433"/>
        <item x="37"/>
        <item m="1" x="4016"/>
        <item m="1" x="2385"/>
        <item m="1" x="3583"/>
        <item m="1" x="1301"/>
        <item m="1" x="3287"/>
        <item m="1" x="860"/>
        <item m="1" x="1997"/>
        <item m="1" x="740"/>
        <item m="1" x="4555"/>
        <item m="1" x="4888"/>
        <item m="1" x="2807"/>
        <item m="1" x="2304"/>
        <item m="1" x="4024"/>
        <item m="1" x="697"/>
        <item m="1" x="1454"/>
        <item m="1" x="1344"/>
        <item m="1" x="2895"/>
        <item m="1" x="3538"/>
        <item m="1" x="844"/>
        <item m="1" x="3658"/>
        <item m="1" x="4785"/>
        <item m="1" x="2790"/>
        <item m="1" x="825"/>
        <item m="1" x="851"/>
        <item m="1" x="4766"/>
        <item m="1" x="2563"/>
        <item m="1" x="2665"/>
        <item m="1" x="3458"/>
        <item m="1" x="3435"/>
        <item m="1" x="2070"/>
        <item m="1" x="3257"/>
        <item m="1" x="2624"/>
        <item x="537"/>
        <item x="344"/>
        <item x="147"/>
        <item m="1" x="1856"/>
        <item m="1" x="1779"/>
        <item m="1" x="2818"/>
        <item m="1" x="1248"/>
        <item m="1" x="805"/>
        <item m="1" x="698"/>
        <item m="1" x="3530"/>
        <item m="1" x="4081"/>
        <item m="1" x="3266"/>
        <item m="1" x="1208"/>
        <item x="535"/>
        <item m="1" x="4932"/>
        <item m="1" x="671"/>
        <item m="1" x="1506"/>
        <item m="1" x="3870"/>
        <item m="1" x="4550"/>
        <item m="1" x="765"/>
        <item x="244"/>
        <item m="1" x="1103"/>
        <item m="1" x="3363"/>
        <item m="1" x="2864"/>
        <item m="1" x="4407"/>
        <item m="1" x="4468"/>
        <item m="1" x="3457"/>
        <item m="1" x="4197"/>
        <item m="1" x="4750"/>
        <item m="1" x="3957"/>
        <item m="1" x="3113"/>
        <item m="1" x="2125"/>
        <item m="1" x="4974"/>
        <item m="1" x="4373"/>
        <item m="1" x="4270"/>
        <item m="1" x="4428"/>
        <item x="261"/>
        <item m="1" x="1757"/>
        <item m="1" x="3414"/>
        <item m="1" x="4000"/>
        <item m="1" x="4736"/>
        <item m="1" x="4371"/>
        <item m="1" x="4691"/>
        <item m="1" x="3936"/>
        <item m="1" x="4895"/>
        <item m="1" x="3809"/>
        <item m="1" x="2076"/>
        <item m="1" x="4419"/>
        <item m="1" x="3277"/>
        <item m="1" x="3304"/>
        <item m="1" x="2635"/>
        <item m="1" x="1076"/>
        <item m="1" x="677"/>
        <item m="1" x="2105"/>
        <item m="1" x="3608"/>
        <item m="1" x="2469"/>
        <item m="1" x="795"/>
        <item m="1" x="1151"/>
        <item m="1" x="1385"/>
        <item m="1" x="4077"/>
        <item m="1" x="1377"/>
        <item m="1" x="1190"/>
        <item m="1" x="1618"/>
        <item m="1" x="1481"/>
        <item m="1" x="1430"/>
        <item m="1" x="3909"/>
        <item m="1" x="4614"/>
        <item m="1" x="3394"/>
        <item x="217"/>
        <item x="335"/>
        <item m="1" x="4411"/>
        <item m="1" x="2762"/>
        <item m="1" x="4006"/>
        <item m="1" x="3782"/>
        <item m="1" x="3783"/>
        <item m="1" x="3423"/>
        <item m="1" x="1855"/>
        <item m="1" x="2024"/>
        <item m="1" x="4659"/>
        <item m="1" x="2990"/>
        <item x="270"/>
        <item m="1" x="4799"/>
        <item x="430"/>
        <item m="1" x="4493"/>
        <item m="1" x="607"/>
        <item m="1" x="800"/>
        <item m="1" x="2494"/>
        <item m="1" x="1693"/>
        <item m="1" x="1607"/>
        <item m="1" x="3776"/>
        <item m="1" x="1834"/>
        <item m="1" x="4035"/>
        <item m="1" x="4379"/>
        <item m="1" x="4633"/>
        <item m="1" x="2180"/>
        <item m="1" x="1178"/>
        <item m="1" x="3453"/>
        <item m="1" x="635"/>
        <item m="1" x="3962"/>
        <item m="1" x="1918"/>
        <item m="1" x="4156"/>
        <item m="1" x="1023"/>
        <item m="1" x="3840"/>
        <item m="1" x="1900"/>
        <item m="1" x="4094"/>
        <item m="1" x="3130"/>
        <item m="1" x="4552"/>
        <item m="1" x="3560"/>
        <item m="1" x="3748"/>
        <item x="109"/>
        <item m="1" x="4117"/>
        <item m="1" x="2150"/>
        <item m="1" x="2716"/>
        <item m="1" x="679"/>
        <item m="1" x="1605"/>
        <item m="1" x="4409"/>
        <item m="1" x="4334"/>
        <item m="1" x="2852"/>
        <item m="1" x="3923"/>
        <item m="1" x="2713"/>
        <item m="1" x="2340"/>
        <item m="1" x="4338"/>
        <item m="1" x="832"/>
        <item m="1" x="2564"/>
        <item x="412"/>
        <item m="1" x="1696"/>
        <item m="1" x="4255"/>
        <item m="1" x="3794"/>
        <item m="1" x="4460"/>
        <item m="1" x="768"/>
        <item m="1" x="3143"/>
        <item m="1" x="4720"/>
        <item m="1" x="1860"/>
        <item m="1" x="4713"/>
        <item m="1" x="2253"/>
        <item m="1" x="1325"/>
        <item m="1" x="4022"/>
        <item m="1" x="2359"/>
        <item m="1" x="3331"/>
        <item m="1" x="3256"/>
        <item m="1" x="4934"/>
        <item m="1" x="4514"/>
        <item m="1" x="3283"/>
        <item m="1" x="4112"/>
        <item m="1" x="4427"/>
        <item m="1" x="612"/>
        <item m="1" x="2763"/>
        <item m="1" x="4148"/>
        <item x="263"/>
        <item m="1" x="3216"/>
        <item m="1" x="1289"/>
        <item m="1" x="4127"/>
        <item m="1" x="4588"/>
        <item m="1" x="3943"/>
        <item m="1" x="4656"/>
        <item m="1" x="4965"/>
        <item m="1" x="3136"/>
        <item m="1" x="949"/>
        <item m="1" x="4165"/>
        <item m="1" x="3391"/>
        <item m="1" x="1694"/>
        <item m="1" x="4598"/>
        <item m="1" x="3167"/>
        <item m="1" x="1559"/>
        <item m="1" x="4599"/>
        <item m="1" x="4239"/>
        <item m="1" x="1296"/>
        <item x="354"/>
        <item x="103"/>
        <item m="1" x="4293"/>
        <item m="1" x="4530"/>
        <item m="1" x="3885"/>
        <item m="1" x="4873"/>
        <item m="1" x="4076"/>
        <item m="1" x="833"/>
        <item m="1" x="4795"/>
        <item m="1" x="3763"/>
        <item x="43"/>
        <item m="1" x="2598"/>
        <item m="1" x="1932"/>
        <item m="1" x="4289"/>
        <item m="1" x="2456"/>
        <item m="1" x="2065"/>
        <item m="1" x="3426"/>
        <item m="1" x="3610"/>
        <item m="1" x="2370"/>
        <item m="1" x="2149"/>
        <item m="1" x="4072"/>
        <item m="1" x="2214"/>
        <item m="1" x="1667"/>
        <item m="1" x="4200"/>
        <item m="1" x="3092"/>
        <item m="1" x="3088"/>
        <item m="1" x="2939"/>
        <item m="1" x="1933"/>
        <item m="1" x="1493"/>
        <item m="1" x="1706"/>
        <item m="1" x="4331"/>
        <item m="1" x="3402"/>
        <item m="1" x="2266"/>
        <item m="1" x="4296"/>
        <item m="1" x="2777"/>
        <item m="1" x="1393"/>
        <item m="1" x="4192"/>
        <item m="1" x="3715"/>
        <item x="308"/>
        <item m="1" x="3639"/>
        <item m="1" x="1963"/>
        <item m="1" x="3812"/>
        <item m="1" x="4414"/>
        <item m="1" x="1723"/>
        <item m="1" x="3139"/>
        <item m="1" x="2238"/>
        <item m="1" x="4683"/>
        <item m="1" x="4627"/>
        <item m="1" x="3571"/>
        <item m="1" x="2040"/>
        <item m="1" x="2072"/>
        <item m="1" x="1194"/>
        <item m="1" x="2959"/>
        <item m="1" x="4216"/>
        <item m="1" x="4966"/>
        <item m="1" x="3966"/>
        <item m="1" x="3901"/>
        <item m="1" x="2236"/>
        <item m="1" x="2281"/>
        <item m="1" x="3615"/>
        <item m="1" x="3497"/>
        <item m="1" x="3405"/>
        <item m="1" x="3060"/>
        <item m="1" x="2412"/>
        <item m="1" x="2963"/>
        <item m="1" x="4026"/>
        <item m="1" x="3359"/>
        <item m="1" x="1147"/>
        <item m="1" x="2561"/>
        <item x="586"/>
        <item m="1" x="4275"/>
        <item m="1" x="1471"/>
        <item m="1" x="1487"/>
        <item x="592"/>
        <item m="1" x="1303"/>
        <item m="1" x="3550"/>
        <item m="1" x="2313"/>
        <item m="1" x="1472"/>
        <item m="1" x="1673"/>
        <item m="1" x="1209"/>
        <item m="1" x="2579"/>
        <item m="1" x="1327"/>
        <item m="1" x="2331"/>
        <item m="1" x="1308"/>
        <item m="1" x="4964"/>
        <item m="1" x="4290"/>
        <item m="1" x="4767"/>
        <item m="1" x="744"/>
        <item m="1" x="2675"/>
        <item m="1" x="4444"/>
        <item m="1" x="2284"/>
        <item m="1" x="4926"/>
        <item m="1" x="3238"/>
        <item m="1" x="1063"/>
        <item m="1" x="4927"/>
        <item x="165"/>
        <item m="1" x="4218"/>
        <item m="1" x="4219"/>
        <item m="1" x="3983"/>
        <item m="1" x="4744"/>
        <item m="1" x="2667"/>
        <item m="1" x="1849"/>
        <item m="1" x="1003"/>
        <item x="503"/>
        <item m="1" x="791"/>
        <item m="1" x="4822"/>
        <item m="1" x="2435"/>
        <item m="1" x="2820"/>
        <item m="1" x="4628"/>
        <item m="1" x="4466"/>
        <item m="1" x="4394"/>
        <item m="1" x="4122"/>
        <item m="1" x="4677"/>
        <item m="1" x="4513"/>
        <item m="1" x="1841"/>
        <item m="1" x="4352"/>
        <item m="1" x="4675"/>
        <item m="1" x="750"/>
        <item m="1" x="1734"/>
        <item m="1" x="2717"/>
        <item m="1" x="779"/>
        <item m="1" x="857"/>
        <item m="1" x="1642"/>
        <item m="1" x="2526"/>
        <item m="1" x="3351"/>
        <item m="1" x="1391"/>
        <item m="1" x="3991"/>
        <item m="1" x="4836"/>
        <item m="1" x="4430"/>
        <item m="1" x="3546"/>
        <item m="1" x="2527"/>
        <item m="1" x="907"/>
        <item x="541"/>
        <item m="1" x="2361"/>
        <item m="1" x="2866"/>
        <item m="1" x="743"/>
        <item m="1" x="1814"/>
        <item m="1" x="4009"/>
        <item m="1" x="3691"/>
        <item m="1" x="1220"/>
        <item m="1" x="4854"/>
        <item m="1" x="3905"/>
        <item m="1" x="4789"/>
        <item m="1" x="3221"/>
        <item m="1" x="2870"/>
        <item m="1" x="3360"/>
        <item m="1" x="1778"/>
        <item m="1" x="2995"/>
        <item m="1" x="4057"/>
        <item x="432"/>
        <item m="1" x="1600"/>
        <item m="1" x="4136"/>
        <item m="1" x="1404"/>
        <item x="92"/>
        <item m="1" x="4489"/>
        <item m="1" x="2530"/>
        <item m="1" x="1653"/>
        <item m="1" x="638"/>
        <item m="1" x="3479"/>
        <item m="1" x="2637"/>
        <item m="1" x="823"/>
        <item x="455"/>
        <item m="1" x="2941"/>
        <item m="1" x="1259"/>
        <item m="1" x="1090"/>
        <item m="1" x="4580"/>
        <item m="1" x="4859"/>
        <item m="1" x="824"/>
        <item m="1" x="1615"/>
        <item m="1" x="3944"/>
        <item x="19"/>
        <item x="161"/>
        <item m="1" x="4543"/>
        <item m="1" x="3188"/>
        <item m="1" x="3662"/>
        <item m="1" x="1602"/>
        <item x="578"/>
        <item x="134"/>
        <item m="1" x="745"/>
        <item x="419"/>
        <item m="1" x="2755"/>
        <item m="1" x="1832"/>
        <item m="1" x="2751"/>
        <item m="1" x="4639"/>
        <item m="1" x="1978"/>
        <item m="1" x="1724"/>
        <item m="1" x="3914"/>
        <item x="524"/>
        <item m="1" x="3132"/>
        <item x="160"/>
        <item m="1" x="1842"/>
        <item m="1" x="3500"/>
        <item x="326"/>
        <item m="1" x="837"/>
        <item x="186"/>
        <item m="1" x="3907"/>
        <item m="1" x="1464"/>
        <item m="1" x="3001"/>
        <item m="1" x="1819"/>
        <item m="1" x="926"/>
        <item x="253"/>
        <item m="1" x="2489"/>
        <item m="1" x="1326"/>
        <item m="1" x="4410"/>
        <item m="1" x="4247"/>
        <item m="1" x="3696"/>
        <item m="1" x="709"/>
        <item x="478"/>
        <item x="530"/>
        <item m="1" x="2964"/>
        <item m="1" x="3836"/>
        <item m="1" x="1353"/>
        <item m="1" x="3824"/>
        <item m="1" x="3624"/>
        <item m="1" x="3561"/>
        <item m="1" x="2948"/>
        <item x="276"/>
        <item m="1" x="4741"/>
        <item x="196"/>
        <item m="1" x="3933"/>
        <item m="1" x="2257"/>
        <item m="1" x="2999"/>
        <item m="1" x="3635"/>
        <item x="3"/>
        <item m="1" x="1555"/>
        <item x="388"/>
        <item m="1" x="2495"/>
        <item m="1" x="3082"/>
        <item m="1" x="3101"/>
        <item m="1" x="2605"/>
        <item m="1" x="3898"/>
        <item m="1" x="3986"/>
        <item m="1" x="4191"/>
        <item m="1" x="2181"/>
        <item m="1" x="4629"/>
        <item m="1" x="1552"/>
        <item m="1" x="2239"/>
        <item m="1" x="3181"/>
        <item m="1" x="4922"/>
        <item m="1" x="1173"/>
        <item m="1" x="3579"/>
        <item m="1" x="4532"/>
        <item m="1" x="4287"/>
        <item m="1" x="3466"/>
        <item m="1" x="4111"/>
        <item m="1" x="1939"/>
        <item m="1" x="3922"/>
        <item m="1" x="1438"/>
        <item x="407"/>
        <item m="1" x="4045"/>
        <item m="1" x="704"/>
        <item m="1" x="1154"/>
        <item x="544"/>
        <item m="1" x="3154"/>
        <item m="1" x="1024"/>
        <item m="1" x="1531"/>
        <item m="1" x="1280"/>
        <item m="1" x="3888"/>
        <item m="1" x="1980"/>
        <item m="1" x="4225"/>
        <item m="1" x="4031"/>
        <item m="1" x="1169"/>
        <item m="1" x="4708"/>
        <item x="500"/>
        <item m="1" x="1727"/>
        <item x="101"/>
        <item x="16"/>
        <item m="1" x="2874"/>
        <item m="1" x="2259"/>
        <item m="1" x="1101"/>
        <item m="1" x="1381"/>
        <item m="1" x="2529"/>
        <item x="213"/>
        <item m="1" x="2352"/>
        <item m="1" x="2126"/>
        <item m="1" x="2892"/>
        <item m="1" x="2324"/>
        <item m="1" x="822"/>
        <item m="1" x="1135"/>
        <item m="1" x="3140"/>
        <item x="557"/>
        <item m="1" x="4020"/>
        <item m="1" x="3378"/>
        <item m="1" x="1145"/>
        <item m="1" x="1988"/>
        <item m="1" x="1219"/>
        <item m="1" x="3486"/>
        <item x="334"/>
        <item m="1" x="2742"/>
        <item m="1" x="1022"/>
        <item x="531"/>
        <item m="1" x="4082"/>
        <item m="1" x="3467"/>
        <item m="1" x="3095"/>
        <item m="1" x="1807"/>
        <item m="1" x="3932"/>
        <item m="1" x="1558"/>
        <item m="1" x="3217"/>
        <item m="1" x="4336"/>
        <item m="1" x="1913"/>
        <item m="1" x="1206"/>
        <item m="1" x="3372"/>
        <item x="33"/>
        <item m="1" x="3756"/>
        <item m="1" x="3310"/>
        <item m="1" x="2997"/>
        <item m="1" x="4837"/>
        <item m="1" x="2525"/>
        <item x="519"/>
        <item m="1" x="4604"/>
        <item m="1" x="2232"/>
        <item m="1" x="1111"/>
        <item m="1" x="4871"/>
        <item m="1" x="4590"/>
        <item m="1" x="4727"/>
        <item m="1" x="4401"/>
        <item m="1" x="4199"/>
        <item m="1" x="3853"/>
        <item m="1" x="4342"/>
        <item m="1" x="1949"/>
        <item m="1" x="1682"/>
        <item m="1" x="1456"/>
        <item m="1" x="3778"/>
        <item m="1" x="3200"/>
        <item m="1" x="3120"/>
        <item m="1" x="903"/>
        <item m="1" x="1302"/>
        <item m="1" x="3501"/>
        <item x="117"/>
        <item x="85"/>
        <item x="508"/>
        <item m="1" x="2956"/>
        <item m="1" x="2932"/>
        <item m="1" x="1162"/>
        <item m="1" x="2131"/>
        <item m="1" x="3410"/>
        <item m="1" x="3713"/>
        <item m="1" x="3758"/>
        <item m="1" x="1157"/>
        <item m="1" x="2227"/>
        <item m="1" x="2857"/>
        <item m="1" x="1097"/>
        <item m="1" x="4134"/>
        <item m="1" x="3413"/>
        <item m="1" x="1838"/>
        <item m="1" x="2335"/>
        <item m="1" x="3573"/>
        <item x="139"/>
        <item m="1" x="1522"/>
        <item m="1" x="2124"/>
        <item m="1" x="3099"/>
        <item m="1" x="2298"/>
        <item m="1" x="2279"/>
        <item m="1" x="4684"/>
        <item m="1" x="4387"/>
        <item m="1" x="1890"/>
        <item x="28"/>
        <item m="1" x="3061"/>
        <item m="1" x="4589"/>
        <item m="1" x="4458"/>
        <item m="1" x="2821"/>
        <item m="1" x="920"/>
        <item m="1" x="2049"/>
        <item x="297"/>
        <item x="364"/>
        <item m="1" x="1394"/>
        <item m="1" x="858"/>
        <item m="1" x="3912"/>
        <item m="1" x="4128"/>
        <item m="1" x="2433"/>
        <item x="358"/>
        <item x="368"/>
        <item m="1" x="4951"/>
        <item m="1" x="3037"/>
        <item m="1" x="3274"/>
        <item m="1" x="2086"/>
        <item m="1" x="3637"/>
        <item m="1" x="1668"/>
        <item m="1" x="1329"/>
        <item x="281"/>
        <item x="337"/>
        <item m="1" x="2085"/>
        <item m="1" x="649"/>
        <item m="1" x="1319"/>
        <item m="1" x="1914"/>
        <item m="1" x="1551"/>
        <item m="1" x="1525"/>
        <item m="1" x="2258"/>
        <item m="1" x="3262"/>
        <item m="1" x="3197"/>
        <item x="521"/>
        <item m="1" x="3679"/>
        <item m="1" x="4053"/>
        <item x="282"/>
        <item m="1" x="1583"/>
        <item m="1" x="4961"/>
        <item m="1" x="4120"/>
        <item m="1" x="3900"/>
        <item m="1" x="3856"/>
        <item m="1" x="1351"/>
        <item m="1" x="4816"/>
        <item m="1" x="2280"/>
        <item m="1" x="2622"/>
        <item m="1" x="4889"/>
        <item m="1" x="3349"/>
        <item m="1" x="3744"/>
        <item m="1" x="2688"/>
        <item m="1" x="4069"/>
        <item x="462"/>
        <item m="1" x="2036"/>
        <item m="1" x="3025"/>
        <item m="1" x="1422"/>
        <item m="1" x="1075"/>
        <item m="1" x="1950"/>
        <item m="1" x="2466"/>
        <item m="1" x="2704"/>
        <item m="1" x="2037"/>
        <item m="1" x="874"/>
        <item m="1" x="872"/>
        <item m="1" x="4003"/>
        <item m="1" x="2938"/>
        <item m="1" x="1687"/>
        <item m="1" x="2819"/>
        <item m="1" x="1592"/>
        <item m="1" x="2201"/>
        <item m="1" x="4455"/>
        <item m="1" x="1688"/>
        <item m="1" x="1293"/>
        <item m="1" x="3259"/>
        <item m="1" x="2699"/>
        <item m="1" x="4402"/>
        <item m="1" x="2534"/>
        <item m="1" x="2632"/>
        <item m="1" x="4282"/>
        <item m="1" x="1359"/>
        <item m="1" x="1409"/>
        <item m="1" x="1207"/>
        <item m="1" x="4101"/>
        <item m="1" x="3087"/>
        <item m="1" x="2767"/>
        <item m="1" x="2028"/>
        <item m="1" x="1516"/>
        <item x="252"/>
        <item m="1" x="4370"/>
        <item m="1" x="2497"/>
        <item m="1" x="1226"/>
        <item m="1" x="2155"/>
        <item m="1" x="2731"/>
        <item m="1" x="1217"/>
        <item x="204"/>
        <item m="1" x="2789"/>
        <item m="1" x="4060"/>
        <item m="1" x="3384"/>
        <item x="515"/>
        <item m="1" x="2900"/>
        <item m="1" x="686"/>
        <item m="1" x="3398"/>
        <item m="1" x="3890"/>
        <item m="1" x="2631"/>
        <item m="1" x="4587"/>
        <item m="1" x="1953"/>
        <item m="1" x="4856"/>
        <item x="450"/>
        <item m="1" x="3098"/>
        <item m="1" x="3585"/>
        <item x="437"/>
        <item m="1" x="4703"/>
        <item m="1" x="4668"/>
        <item m="1" x="887"/>
        <item m="1" x="2222"/>
        <item x="48"/>
        <item m="1" x="4893"/>
        <item m="1" x="2581"/>
        <item m="1" x="1459"/>
        <item m="1" x="4145"/>
        <item m="1" x="2286"/>
        <item m="1" x="3042"/>
        <item m="1" x="736"/>
        <item m="1" x="4230"/>
        <item m="1" x="2216"/>
        <item m="1" x="1125"/>
        <item m="1" x="3248"/>
        <item m="1" x="2337"/>
        <item m="1" x="3127"/>
        <item m="1" x="1407"/>
        <item m="1" x="3050"/>
        <item m="1" x="2851"/>
        <item m="1" x="4360"/>
        <item m="1" x="3631"/>
        <item m="1" x="4706"/>
        <item m="1" x="2288"/>
        <item m="1" x="2441"/>
        <item m="1" x="2319"/>
        <item x="241"/>
        <item x="126"/>
        <item m="1" x="4456"/>
        <item m="1" x="4649"/>
        <item m="1" x="4011"/>
        <item m="1" x="701"/>
        <item m="1" x="4647"/>
        <item m="1" x="2448"/>
        <item x="289"/>
        <item x="218"/>
        <item m="1" x="3850"/>
        <item m="1" x="1581"/>
        <item m="1" x="3344"/>
        <item m="1" x="615"/>
        <item m="1" x="3301"/>
        <item m="1" x="1922"/>
        <item m="1" x="4823"/>
        <item m="1" x="2048"/>
        <item m="1" x="842"/>
        <item m="1" x="2859"/>
        <item m="1" x="3574"/>
        <item m="1" x="3859"/>
        <item m="1" x="904"/>
        <item m="1" x="2372"/>
        <item m="1" x="1630"/>
        <item m="1" x="2393"/>
        <item m="1" x="2733"/>
        <item m="1" x="3524"/>
        <item m="1" x="1044"/>
        <item m="1" x="2030"/>
        <item m="1" x="1629"/>
        <item m="1" x="4073"/>
        <item m="1" x="4711"/>
        <item m="1" x="4229"/>
        <item m="1" x="2515"/>
        <item m="1" x="4891"/>
        <item m="1" x="2554"/>
        <item m="1" x="3036"/>
        <item m="1" x="3245"/>
        <item m="1" x="1466"/>
        <item m="1" x="4474"/>
        <item x="447"/>
        <item x="201"/>
        <item m="1" x="4263"/>
        <item m="1" x="4157"/>
        <item m="1" x="4151"/>
        <item m="1" x="2066"/>
        <item m="1" x="3131"/>
        <item m="1" x="3021"/>
        <item m="1" x="2490"/>
        <item x="221"/>
        <item m="1" x="2966"/>
        <item m="1" x="4940"/>
        <item m="1" x="4364"/>
        <item m="1" x="3451"/>
        <item m="1" x="2377"/>
        <item m="1" x="2034"/>
        <item m="1" x="1457"/>
        <item m="1" x="2262"/>
        <item m="1" x="4278"/>
        <item m="1" x="4768"/>
        <item m="1" x="2684"/>
        <item m="1" x="3997"/>
        <item m="1" x="1828"/>
        <item m="1" x="3321"/>
        <item m="1" x="4051"/>
        <item m="1" x="720"/>
        <item m="1" x="2707"/>
        <item m="1" x="2316"/>
        <item m="1" x="1012"/>
        <item m="1" x="2872"/>
        <item m="1" x="1697"/>
        <item x="258"/>
        <item m="1" x="2172"/>
        <item m="1" x="948"/>
        <item m="1" x="3107"/>
        <item m="1" x="2806"/>
        <item m="1" x="4939"/>
        <item x="346"/>
        <item m="1" x="611"/>
        <item m="1" x="4762"/>
        <item m="1" x="2737"/>
        <item m="1" x="1324"/>
        <item m="1" x="3439"/>
        <item x="397"/>
        <item m="1" x="4753"/>
        <item m="1" x="2842"/>
        <item m="1" x="3730"/>
        <item m="1" x="1016"/>
        <item m="1" x="3508"/>
        <item m="1" x="3094"/>
        <item x="330"/>
        <item m="1" x="2421"/>
        <item m="1" x="1909"/>
        <item m="1" x="1255"/>
        <item m="1" x="4665"/>
        <item m="1" x="2271"/>
        <item m="1" x="3940"/>
        <item m="1" x="2706"/>
        <item m="1" x="621"/>
        <item m="1" x="2972"/>
        <item m="1" x="2614"/>
        <item m="1" x="4452"/>
        <item m="1" x="3537"/>
        <item x="214"/>
        <item m="1" x="2760"/>
        <item m="1" x="4416"/>
        <item m="1" x="3149"/>
        <item m="1" x="4825"/>
        <item m="1" x="3770"/>
        <item x="172"/>
        <item m="1" x="4742"/>
        <item m="1" x="4952"/>
        <item m="1" x="2720"/>
        <item m="1" x="4695"/>
        <item m="1" x="4308"/>
        <item m="1" x="1245"/>
        <item m="1" x="1998"/>
        <item m="1" x="4305"/>
        <item m="1" x="2824"/>
        <item m="1" x="4404"/>
        <item x="454"/>
        <item m="1" x="4954"/>
        <item m="1" x="4606"/>
        <item m="1" x="4375"/>
        <item m="1" x="1639"/>
        <item m="1" x="4569"/>
        <item m="1" x="3399"/>
        <item m="1" x="4834"/>
        <item m="1" x="3663"/>
        <item m="1" x="3436"/>
        <item m="1" x="4393"/>
        <item m="1" x="1395"/>
        <item x="197"/>
        <item m="1" x="4660"/>
        <item m="1" x="947"/>
        <item m="1" x="4309"/>
        <item m="1" x="3064"/>
        <item m="1" x="1517"/>
        <item m="1" x="3652"/>
        <item m="1" x="1533"/>
        <item m="1" x="1549"/>
        <item m="1" x="1811"/>
        <item m="1" x="3868"/>
        <item m="1" x="1282"/>
        <item m="1" x="3317"/>
        <item m="1" x="4632"/>
        <item m="1" x="4967"/>
        <item m="1" x="2212"/>
        <item m="1" x="3738"/>
        <item m="1" x="3881"/>
        <item m="1" x="4749"/>
        <item m="1" x="3766"/>
        <item m="1" x="4616"/>
        <item m="1" x="2269"/>
        <item m="1" x="2649"/>
        <item m="1" x="4861"/>
        <item m="1" x="3345"/>
        <item x="14"/>
        <item m="1" x="4140"/>
        <item m="1" x="734"/>
        <item m="1" x="4181"/>
        <item m="1" x="3033"/>
        <item m="1" x="1863"/>
        <item x="183"/>
        <item m="1" x="4325"/>
        <item m="1" x="4434"/>
        <item m="1" x="1582"/>
        <item m="1" x="1059"/>
        <item m="1" x="2519"/>
        <item m="1" x="4523"/>
        <item m="1" x="2590"/>
        <item x="242"/>
        <item m="1" x="895"/>
        <item m="1" x="4350"/>
        <item m="1" x="1540"/>
        <item m="1" x="1903"/>
        <item x="362"/>
        <item m="1" x="4150"/>
        <item m="1" x="1731"/>
        <item m="1" x="1526"/>
        <item m="1" x="1468"/>
        <item m="1" x="3386"/>
        <item m="1" x="666"/>
        <item m="1" x="1885"/>
        <item m="1" x="2363"/>
        <item m="1" x="1574"/>
        <item m="1" x="1993"/>
        <item x="50"/>
        <item x="140"/>
        <item m="1" x="3464"/>
        <item m="1" x="1801"/>
        <item x="540"/>
        <item m="1" x="654"/>
        <item m="1" x="794"/>
        <item m="1" x="3786"/>
        <item m="1" x="929"/>
        <item m="1" x="622"/>
        <item m="1" x="4985"/>
        <item m="1" x="1825"/>
        <item m="1" x="4299"/>
        <item m="1" x="1198"/>
        <item m="1" x="2709"/>
        <item m="1" x="1897"/>
        <item m="1" x="2710"/>
        <item m="1" x="1674"/>
        <item m="1" x="2817"/>
        <item m="1" x="1265"/>
        <item m="1" x="1711"/>
        <item m="1" x="956"/>
        <item m="1" x="3427"/>
        <item m="1" x="1253"/>
        <item m="1" x="3142"/>
        <item m="1" x="1772"/>
        <item m="1" x="2613"/>
        <item m="1" x="1756"/>
        <item m="1" x="4646"/>
        <item m="1" x="4721"/>
        <item m="1" x="2404"/>
        <item m="1" x="2660"/>
        <item m="1" x="4786"/>
        <item m="1" x="3654"/>
        <item m="1" x="1790"/>
        <item x="46"/>
        <item m="1" x="4845"/>
        <item m="1" x="3760"/>
        <item m="1" x="4366"/>
        <item m="1" x="4906"/>
        <item m="1" x="4716"/>
        <item m="1" x="2620"/>
        <item m="1" x="3421"/>
        <item m="1" x="4554"/>
        <item m="1" x="2188"/>
        <item m="1" x="3309"/>
        <item m="1" x="3419"/>
        <item m="1" x="2695"/>
        <item m="1" x="2491"/>
        <item m="1" x="4244"/>
        <item x="399"/>
        <item x="489"/>
        <item m="1" x="3531"/>
        <item m="1" x="2195"/>
        <item m="1" x="1774"/>
        <item m="1" x="3653"/>
        <item m="1" x="2721"/>
        <item m="1" x="4099"/>
        <item m="1" x="1975"/>
        <item x="404"/>
        <item m="1" x="4383"/>
        <item m="1" x="1087"/>
        <item m="1" x="3342"/>
        <item m="1" x="774"/>
        <item m="1" x="4185"/>
        <item m="1" x="4396"/>
        <item x="545"/>
        <item m="1" x="4621"/>
        <item m="1" x="4793"/>
        <item m="1" x="1703"/>
        <item x="313"/>
        <item m="1" x="1896"/>
        <item m="1" x="1130"/>
        <item x="572"/>
        <item m="1" x="4737"/>
        <item m="1" x="653"/>
        <item m="1" x="4233"/>
        <item m="1" x="1037"/>
        <item m="1" x="2446"/>
        <item x="527"/>
        <item m="1" x="4413"/>
        <item m="1" x="2109"/>
        <item m="1" x="1033"/>
        <item m="1" x="4842"/>
        <item m="1" x="647"/>
        <item m="1" x="2221"/>
        <item m="1" x="2927"/>
        <item m="1" x="1428"/>
        <item m="1" x="4881"/>
        <item m="1" x="1787"/>
        <item m="1" x="2107"/>
        <item m="1" x="1314"/>
        <item x="9"/>
        <item m="1" x="2416"/>
        <item m="1" x="2994"/>
        <item m="1" x="3925"/>
        <item m="1" x="994"/>
        <item m="1" x="3547"/>
        <item x="211"/>
        <item m="1" x="924"/>
        <item m="1" x="3489"/>
        <item m="1" x="3121"/>
        <item m="1" x="4110"/>
        <item m="1" x="2739"/>
        <item m="1" x="2784"/>
        <item m="1" x="3984"/>
        <item m="1" x="2551"/>
        <item m="1" x="4643"/>
        <item m="1" x="4717"/>
        <item m="1" x="2018"/>
        <item m="1" x="3722"/>
        <item m="1" x="1571"/>
        <item m="1" x="1176"/>
        <item m="1" x="2083"/>
        <item m="1" x="1938"/>
        <item m="1" x="2260"/>
        <item m="1" x="1373"/>
        <item m="1" x="3745"/>
        <item m="1" x="2659"/>
        <item m="1" x="2294"/>
        <item m="1" x="3998"/>
        <item m="1" x="4613"/>
        <item x="158"/>
        <item x="10"/>
        <item m="1" x="3134"/>
        <item x="12"/>
        <item m="1" x="2134"/>
        <item m="1" x="2539"/>
        <item m="1" x="1121"/>
        <item m="1" x="2440"/>
        <item x="596"/>
        <item m="1" x="2666"/>
        <item m="1" x="656"/>
        <item m="1" x="2983"/>
        <item m="1" x="2289"/>
        <item m="1" x="3916"/>
        <item m="1" x="4575"/>
        <item m="1" x="2044"/>
        <item m="1" x="4211"/>
        <item m="1" x="3179"/>
        <item m="1" x="2992"/>
        <item m="1" x="1221"/>
        <item m="1" x="1680"/>
        <item m="1" x="3575"/>
        <item m="1" x="3563"/>
        <item m="1" x="4944"/>
        <item m="1" x="2593"/>
        <item m="1" x="788"/>
        <item x="159"/>
        <item x="225"/>
        <item m="1" x="3534"/>
        <item m="1" x="3114"/>
        <item x="223"/>
        <item m="1" x="880"/>
        <item m="1" x="715"/>
        <item m="1" x="4222"/>
        <item m="1" x="1211"/>
        <item m="1" x="1350"/>
        <item m="1" x="815"/>
        <item m="1" x="863"/>
        <item m="1" x="2272"/>
        <item m="1" x="2418"/>
        <item m="1" x="2250"/>
        <item m="1" x="3788"/>
        <item m="1" x="2424"/>
        <item m="1" x="2501"/>
        <item m="1" x="4205"/>
        <item m="1" x="1732"/>
        <item m="1" x="2636"/>
        <item m="1" x="2371"/>
        <item m="1" x="3463"/>
        <item m="1" x="4361"/>
        <item x="110"/>
        <item m="1" x="2204"/>
        <item m="1" x="665"/>
        <item m="1" x="1848"/>
        <item x="123"/>
        <item m="1" x="962"/>
        <item m="1" x="3377"/>
        <item m="1" x="2287"/>
        <item m="1" x="2621"/>
        <item m="1" x="3805"/>
        <item m="1" x="3837"/>
        <item m="1" x="2362"/>
        <item x="57"/>
        <item m="1" x="4570"/>
        <item m="1" x="4221"/>
        <item m="1" x="2096"/>
        <item m="1" x="1719"/>
        <item m="1" x="4908"/>
        <item m="1" x="3080"/>
        <item m="1" x="2571"/>
        <item m="1" x="3175"/>
        <item m="1" x="4846"/>
        <item m="1" x="2848"/>
        <item m="1" x="3621"/>
        <item m="1" x="1421"/>
        <item m="1" x="1880"/>
        <item m="1" x="1643"/>
        <item x="319"/>
        <item m="1" x="2233"/>
        <item m="1" x="1556"/>
        <item m="1" x="4141"/>
        <item m="1" x="3263"/>
        <item m="1" x="2183"/>
        <item m="1" x="3568"/>
        <item m="1" x="3960"/>
        <item m="1" x="3688"/>
        <item m="1" x="3240"/>
        <item m="1" x="1446"/>
        <item m="1" x="722"/>
        <item m="1" x="3887"/>
        <item m="1" x="1626"/>
        <item m="1" x="3239"/>
        <item m="1" x="2020"/>
        <item m="1" x="3751"/>
        <item m="1" x="4652"/>
        <item m="1" x="3503"/>
        <item m="1" x="2017"/>
        <item m="1" x="1830"/>
        <item m="1" x="2521"/>
        <item m="1" x="2484"/>
        <item m="1" x="662"/>
        <item m="1" x="1444"/>
        <item m="1" x="4540"/>
        <item m="1" x="1658"/>
        <item m="1" x="900"/>
        <item m="1" x="3625"/>
        <item m="1" x="4295"/>
        <item m="1" x="2091"/>
        <item m="1" x="4730"/>
        <item m="1" x="1826"/>
        <item x="185"/>
        <item m="1" x="3643"/>
        <item m="1" x="1406"/>
        <item m="1" x="1960"/>
        <item x="538"/>
        <item m="1" x="3918"/>
        <item m="1" x="2890"/>
        <item m="1" x="1281"/>
        <item m="1" x="3096"/>
        <item m="1" x="1666"/>
        <item m="1" x="4596"/>
        <item m="1" x="2991"/>
        <item m="1" x="1995"/>
        <item x="135"/>
        <item x="102"/>
        <item m="1" x="4323"/>
        <item m="1" x="3407"/>
        <item m="1" x="4806"/>
        <item m="1" x="3793"/>
        <item m="1" x="4236"/>
        <item m="1" x="2378"/>
        <item m="1" x="1429"/>
        <item m="1" x="1876"/>
        <item m="1" x="3605"/>
        <item m="1" x="3118"/>
        <item m="1" x="2470"/>
        <item m="1" x="2121"/>
        <item m="1" x="4125"/>
        <item m="1" x="1567"/>
        <item m="1" x="4901"/>
        <item m="1" x="4567"/>
        <item x="449"/>
        <item x="266"/>
        <item x="38"/>
        <item m="1" x="4921"/>
        <item m="1" x="2009"/>
        <item m="1" x="2578"/>
        <item m="1" x="3645"/>
        <item m="1" x="3038"/>
        <item m="1" x="1401"/>
        <item m="1" x="2462"/>
        <item m="1" x="4783"/>
        <item x="250"/>
        <item m="1" x="2618"/>
        <item m="1" x="4669"/>
        <item m="1" x="4417"/>
        <item m="1" x="2863"/>
        <item m="1" x="879"/>
        <item m="1" x="4479"/>
        <item x="122"/>
        <item m="1" x="4819"/>
        <item m="1" x="2166"/>
        <item m="1" x="2478"/>
        <item m="1" x="1701"/>
        <item m="1" x="831"/>
        <item m="1" x="4500"/>
        <item m="1" x="1011"/>
        <item x="425"/>
        <item m="1" x="690"/>
        <item x="264"/>
        <item x="124"/>
        <item m="1" x="2608"/>
        <item m="1" x="3826"/>
        <item m="1" x="2929"/>
        <item x="402"/>
        <item x="76"/>
        <item m="1" x="4916"/>
        <item x="255"/>
        <item m="1" x="3970"/>
        <item x="59"/>
        <item x="97"/>
        <item m="1" x="2768"/>
        <item m="1" x="1161"/>
        <item m="1" x="3370"/>
        <item m="1" x="2985"/>
        <item m="1" x="3141"/>
        <item x="496"/>
        <item m="1" x="2357"/>
        <item x="175"/>
        <item m="1" x="2549"/>
        <item m="1" x="1267"/>
        <item m="1" x="1679"/>
        <item m="1" x="2041"/>
        <item m="1" x="630"/>
        <item x="532"/>
        <item m="1" x="3929"/>
        <item m="1" x="1291"/>
        <item m="1" x="3393"/>
        <item m="1" x="3799"/>
        <item m="1" x="1257"/>
        <item m="1" x="3860"/>
        <item m="1" x="3670"/>
        <item m="1" x="2339"/>
        <item m="1" x="2460"/>
        <item m="1" x="2595"/>
        <item x="25"/>
        <item m="1" x="1193"/>
        <item x="452"/>
        <item m="1" x="1080"/>
        <item x="72"/>
        <item m="1" x="1005"/>
        <item m="1" x="1026"/>
        <item x="549"/>
        <item m="1" x="4529"/>
        <item m="1" x="3833"/>
        <item m="1" x="3157"/>
        <item m="1" x="2453"/>
        <item m="1" x="1452"/>
        <item m="1" x="3818"/>
        <item m="1" x="2761"/>
        <item x="202"/>
        <item m="1" x="1829"/>
        <item m="1" x="3364"/>
        <item m="1" x="4930"/>
        <item m="1" x="3387"/>
        <item m="1" x="2572"/>
        <item m="1" x="889"/>
        <item x="363"/>
        <item m="1" x="1562"/>
        <item x="4"/>
        <item m="1" x="2000"/>
        <item m="1" x="3493"/>
        <item m="1" x="3138"/>
        <item m="1" x="4637"/>
        <item m="1" x="1760"/>
        <item m="1" x="2705"/>
        <item m="1" x="1410"/>
        <item m="1" x="2366"/>
        <item m="1" x="4088"/>
        <item m="1" x="4374"/>
        <item m="1" x="1915"/>
        <item x="47"/>
        <item m="1" x="4333"/>
        <item m="1" x="2754"/>
        <item m="1" x="1821"/>
        <item m="1" x="1056"/>
        <item m="1" x="2813"/>
        <item x="564"/>
        <item m="1" x="707"/>
        <item m="1" x="1509"/>
        <item m="1" x="1768"/>
        <item m="1" x="4536"/>
        <item m="1" x="1738"/>
        <item m="1" x="1769"/>
        <item m="1" x="3034"/>
        <item m="1" x="4256"/>
        <item m="1" x="1363"/>
        <item m="1" x="1991"/>
        <item m="1" x="4623"/>
        <item m="1" x="2224"/>
        <item m="1" x="2449"/>
        <item m="1" x="4179"/>
        <item m="1" x="2500"/>
        <item m="1" x="2276"/>
        <item m="1" x="2282"/>
        <item m="1" x="4080"/>
        <item m="1" x="1770"/>
        <item x="409"/>
        <item m="1" x="3708"/>
        <item m="1" x="1405"/>
        <item m="1" x="4441"/>
        <item m="1" x="3195"/>
        <item m="1" x="4258"/>
        <item m="1" x="4740"/>
        <item m="1" x="3499"/>
        <item x="226"/>
        <item m="1" x="2812"/>
        <item x="323"/>
        <item m="1" x="2850"/>
        <item m="1" x="2617"/>
        <item m="1" x="2247"/>
        <item m="1" x="4686"/>
        <item m="1" x="2323"/>
        <item m="1" x="4154"/>
        <item m="1" x="1843"/>
        <item m="1" x="1040"/>
        <item m="1" x="3214"/>
        <item m="1" x="3299"/>
        <item m="1" x="4519"/>
        <item m="1" x="4841"/>
        <item m="1" x="3646"/>
        <item m="1" x="4168"/>
        <item m="1" x="1818"/>
        <item x="51"/>
        <item m="1" x="4508"/>
        <item m="1" x="3834"/>
        <item x="465"/>
        <item m="1" x="1907"/>
        <item x="194"/>
        <item m="1" x="1793"/>
        <item m="1" x="3206"/>
        <item m="1" x="1112"/>
        <item m="1" x="3581"/>
        <item m="1" x="2918"/>
        <item m="1" x="4050"/>
        <item m="1" x="4447"/>
        <item m="1" x="2365"/>
        <item m="1" x="1617"/>
        <item m="1" x="1467"/>
        <item m="1" x="2980"/>
        <item m="1" x="3634"/>
        <item m="1" x="1726"/>
        <item x="302"/>
        <item x="555"/>
        <item m="1" x="2011"/>
        <item x="121"/>
        <item m="1" x="3264"/>
        <item m="1" x="3155"/>
        <item m="1" x="1188"/>
        <item m="1" x="4126"/>
        <item x="338"/>
        <item m="1" x="4314"/>
        <item m="1" x="3956"/>
        <item x="473"/>
        <item x="100"/>
        <item x="380"/>
        <item m="1" x="2931"/>
        <item m="1" x="1413"/>
        <item m="1" x="4573"/>
        <item m="1" x="4066"/>
        <item m="1" x="1175"/>
        <item m="1" x="4464"/>
        <item m="1" x="2403"/>
        <item m="1" x="2255"/>
        <item m="1" x="1298"/>
        <item m="1" x="2119"/>
        <item m="1" x="1610"/>
        <item m="1" x="3698"/>
        <item m="1" x="4644"/>
        <item m="1" x="4935"/>
        <item m="1" x="3180"/>
        <item m="1" x="4321"/>
        <item m="1" x="2800"/>
        <item m="1" x="2174"/>
        <item m="1" x="989"/>
        <item m="1" x="4504"/>
        <item m="1" x="1899"/>
        <item m="1" x="4317"/>
        <item x="260"/>
        <item m="1" x="2023"/>
        <item m="1" x="3075"/>
        <item m="1" x="3210"/>
        <item m="1" x="3158"/>
        <item m="1" x="2425"/>
        <item m="1" x="1187"/>
        <item m="1" x="3502"/>
        <item m="1" x="1425"/>
        <item m="1" x="708"/>
        <item m="1" x="4388"/>
        <item m="1" x="1455"/>
        <item m="1" x="4617"/>
        <item m="1" x="3752"/>
        <item x="476"/>
        <item x="536"/>
        <item m="1" x="2402"/>
        <item m="1" x="4568"/>
        <item m="1" x="3046"/>
        <item m="1" x="3334"/>
        <item x="562"/>
        <item x="23"/>
        <item m="1" x="1654"/>
        <item m="1" x="4772"/>
        <item m="1" x="2407"/>
        <item m="1" x="1747"/>
        <item m="1" x="2158"/>
        <item x="533"/>
        <item x="293"/>
        <item x="170"/>
        <item m="1" x="4487"/>
        <item m="1" x="3796"/>
        <item x="474"/>
        <item m="1" x="3664"/>
        <item m="1" x="4909"/>
        <item m="1" x="4068"/>
        <item m="1" x="2788"/>
        <item m="1" x="3587"/>
        <item m="1" x="899"/>
        <item m="1" x="1504"/>
        <item m="1" x="4381"/>
        <item m="1" x="3056"/>
        <item x="370"/>
        <item x="510"/>
        <item m="1" x="3474"/>
        <item m="1" x="4890"/>
        <item m="1" x="1931"/>
        <item m="1" x="4252"/>
        <item m="1" x="1501"/>
        <item m="1" x="1616"/>
        <item m="1" x="3798"/>
        <item m="1" x="2596"/>
        <item m="1" x="901"/>
        <item m="1" x="1332"/>
        <item m="1" x="3865"/>
        <item m="1" x="4738"/>
        <item m="1" x="3718"/>
        <item m="1" x="2428"/>
        <item m="1" x="2300"/>
        <item x="58"/>
        <item m="1" x="4329"/>
        <item m="1" x="2609"/>
        <item m="1" x="1587"/>
        <item m="1" x="4946"/>
        <item m="1" x="2701"/>
        <item m="1" x="1990"/>
        <item m="1" x="3129"/>
        <item m="1" x="2771"/>
        <item m="1" x="2917"/>
        <item m="1" x="2414"/>
        <item m="1" x="2376"/>
        <item x="417"/>
        <item m="1" x="2582"/>
        <item m="1" x="2243"/>
        <item m="1" x="3311"/>
        <item m="1" x="1448"/>
        <item m="1" x="2012"/>
        <item m="1" x="3272"/>
        <item m="1" x="1002"/>
        <item x="513"/>
        <item m="1" x="2989"/>
        <item x="464"/>
        <item m="1" x="3346"/>
        <item m="1" x="2661"/>
        <item m="1" x="3011"/>
        <item m="1" x="4047"/>
        <item m="1" x="3168"/>
        <item x="8"/>
        <item m="1" x="2073"/>
        <item m="1" x="2003"/>
        <item m="1" x="814"/>
        <item x="188"/>
        <item m="1" x="3622"/>
        <item m="1" x="1685"/>
        <item m="1" x="1589"/>
        <item m="1" x="1146"/>
        <item m="1" x="3367"/>
        <item m="1" x="4603"/>
        <item m="1" x="3496"/>
        <item m="1" x="1229"/>
        <item m="1" x="1388"/>
        <item m="1" x="1925"/>
        <item x="336"/>
        <item m="1" x="4431"/>
        <item m="1" x="4618"/>
        <item m="1" x="2668"/>
        <item m="1" x="4503"/>
        <item m="1" x="2147"/>
        <item m="1" x="2081"/>
        <item x="53"/>
        <item m="1" x="1593"/>
        <item m="1" x="3057"/>
        <item m="1" x="3675"/>
        <item x="325"/>
        <item x="182"/>
        <item m="1" x="4714"/>
        <item m="1" x="2869"/>
        <item m="1" x="4726"/>
        <item x="523"/>
        <item m="1" x="2067"/>
        <item m="1" x="4615"/>
        <item m="1" x="713"/>
        <item m="1" x="3807"/>
        <item m="1" x="4868"/>
        <item x="468"/>
        <item m="1" x="2524"/>
        <item m="1" x="651"/>
        <item m="1" x="2130"/>
        <item x="229"/>
        <item x="176"/>
        <item m="1" x="1137"/>
        <item m="1" x="2162"/>
        <item m="1" x="3012"/>
        <item m="1" x="3469"/>
        <item m="1" x="1651"/>
        <item m="1" x="2611"/>
        <item m="1" x="3186"/>
        <item x="62"/>
        <item x="360"/>
        <item m="1" x="4705"/>
        <item x="215"/>
        <item m="1" x="914"/>
        <item m="1" x="2778"/>
        <item m="1" x="1631"/>
        <item m="1" x="1608"/>
        <item m="1" x="2270"/>
        <item m="1" x="2583"/>
        <item m="1" x="2971"/>
        <item m="1" x="1367"/>
        <item m="1" x="4680"/>
        <item m="1" x="3800"/>
        <item m="1" x="1312"/>
        <item m="1" x="3455"/>
        <item m="1" x="2235"/>
        <item m="1" x="1678"/>
        <item m="1" x="4797"/>
        <item m="1" x="1494"/>
        <item m="1" x="1066"/>
        <item x="32"/>
        <item m="1" x="4800"/>
        <item m="1" x="4805"/>
        <item m="1" x="4155"/>
        <item x="442"/>
        <item m="1" x="2912"/>
        <item x="199"/>
        <item m="1" x="4984"/>
        <item m="1" x="2314"/>
        <item m="1" x="3823"/>
        <item x="392"/>
        <item m="1" x="639"/>
        <item m="1" x="1692"/>
        <item m="1" x="4657"/>
        <item x="280"/>
        <item x="342"/>
        <item m="1" x="3968"/>
        <item m="1" x="4905"/>
        <item m="1" x="3993"/>
        <item m="1" x="1792"/>
        <item m="1" x="1462"/>
        <item x="341"/>
        <item m="1" x="4980"/>
        <item m="1" x="3446"/>
        <item m="1" x="2299"/>
        <item m="1" x="3105"/>
        <item m="1" x="4851"/>
        <item x="230"/>
        <item m="1" x="4725"/>
        <item m="1" x="733"/>
        <item m="1" x="2936"/>
        <item m="1" x="4276"/>
        <item m="1" x="3996"/>
        <item m="1" x="2982"/>
        <item m="1" x="2226"/>
        <item m="1" x="3316"/>
        <item m="1" x="2809"/>
        <item m="1" x="3498"/>
        <item m="1" x="4492"/>
        <item m="1" x="4696"/>
        <item m="1" x="1733"/>
        <item m="1" x="3521"/>
        <item m="1" x="1021"/>
        <item m="1" x="4874"/>
        <item m="1" x="3835"/>
        <item m="1" x="1921"/>
        <item m="1" x="681"/>
        <item m="1" x="3103"/>
        <item m="1" x="1304"/>
        <item m="1" x="2178"/>
        <item m="1" x="4390"/>
        <item m="1" x="2445"/>
        <item m="1" x="1621"/>
        <item m="1" x="2862"/>
        <item m="1" x="4539"/>
        <item m="1" x="1317"/>
        <item m="1" x="3055"/>
        <item x="387"/>
        <item m="1" x="3173"/>
        <item m="1" x="2264"/>
        <item m="1" x="4005"/>
        <item m="1" x="3883"/>
        <item m="1" x="2219"/>
        <item m="1" x="2452"/>
        <item m="1" x="1086"/>
        <item m="1" x="4351"/>
        <item m="1" x="1961"/>
        <item m="1" x="2838"/>
        <item m="1" x="2136"/>
        <item m="1" x="1419"/>
        <item m="1" x="1715"/>
        <item x="245"/>
        <item m="1" x="3719"/>
        <item m="1" x="1107"/>
        <item m="1" x="1168"/>
        <item m="1" x="2237"/>
        <item m="1" x="4437"/>
        <item m="1" x="4260"/>
        <item m="1" x="3330"/>
        <item x="486"/>
        <item m="1" x="3806"/>
        <item m="1" x="1905"/>
        <item m="1" x="1416"/>
        <item m="1" x="3867"/>
        <item m="1" x="2648"/>
        <item m="1" x="2027"/>
        <item m="1" x="2140"/>
        <item x="534"/>
        <item m="1" x="696"/>
        <item m="1" x="2004"/>
        <item m="1" x="3473"/>
        <item m="1" x="4443"/>
        <item m="1" x="3236"/>
        <item x="324"/>
        <item m="1" x="2432"/>
        <item m="1" x="2231"/>
        <item m="1" x="3629"/>
        <item m="1" x="954"/>
        <item m="1" x="2591"/>
        <item m="1" x="764"/>
        <item m="1" x="3052"/>
        <item m="1" x="1043"/>
        <item m="1" x="753"/>
        <item m="1" x="2059"/>
        <item m="1" x="4807"/>
        <item m="1" x="4779"/>
        <item m="1" x="2651"/>
        <item m="1" x="1911"/>
        <item m="1" x="3727"/>
        <item m="1" x="4770"/>
        <item m="1" x="3102"/>
        <item m="1" x="976"/>
        <item x="128"/>
        <item m="1" x="1231"/>
        <item m="1" x="4516"/>
        <item m="1" x="4349"/>
        <item m="1" x="2879"/>
        <item m="1" x="2161"/>
        <item m="1" x="1505"/>
        <item m="1" x="2295"/>
        <item m="1" x="3481"/>
        <item m="1" x="1450"/>
        <item m="1" x="2840"/>
        <item m="1" x="946"/>
        <item m="1" x="3388"/>
        <item m="1" x="944"/>
        <item m="1" x="2007"/>
        <item m="1" x="2766"/>
        <item m="1" x="2743"/>
        <item m="1" x="3847"/>
        <item m="1" x="4238"/>
        <item m="1" x="4609"/>
        <item m="1" x="3276"/>
        <item m="1" x="2429"/>
        <item x="155"/>
        <item x="479"/>
        <item m="1" x="3323"/>
        <item m="1" x="3047"/>
        <item m="1" x="2829"/>
        <item m="1" x="4184"/>
        <item m="1" x="4810"/>
        <item m="1" x="2889"/>
        <item x="151"/>
        <item m="1" x="3024"/>
        <item m="1" x="2647"/>
        <item m="1" x="2910"/>
        <item m="1" x="1867"/>
        <item m="1" x="3789"/>
        <item m="1" x="1919"/>
        <item m="1" x="3445"/>
        <item m="1" x="4745"/>
        <item m="1" x="2867"/>
        <item m="1" x="2555"/>
        <item m="1" x="1497"/>
        <item m="1" x="782"/>
        <item m="1" x="2548"/>
        <item m="1" x="2038"/>
        <item m="1" x="3953"/>
        <item m="1" x="3328"/>
        <item m="1" x="730"/>
        <item m="1" x="3028"/>
        <item m="1" x="1566"/>
        <item m="1" x="3523"/>
        <item m="1" x="3209"/>
        <item m="1" x="3813"/>
        <item m="1" x="1241"/>
        <item m="1" x="1528"/>
        <item m="1" x="4553"/>
        <item m="1" x="2965"/>
        <item m="1" x="1177"/>
        <item m="1" x="3828"/>
        <item m="1" x="1936"/>
        <item m="1" x="4674"/>
        <item m="1" x="3290"/>
        <item m="1" x="2450"/>
        <item m="1" x="3972"/>
        <item m="1" x="4186"/>
        <item m="1" x="1085"/>
        <item m="1" x="835"/>
        <item m="1" x="3382"/>
        <item m="1" x="4630"/>
        <item m="1" x="2334"/>
        <item m="1" x="3913"/>
        <item m="1" x="4602"/>
        <item m="1" x="4791"/>
        <item m="1" x="1776"/>
        <item m="1" x="2186"/>
        <item m="1" x="2471"/>
        <item m="1" x="2748"/>
        <item m="1" x="2937"/>
        <item m="1" x="2355"/>
        <item m="1" x="1641"/>
        <item m="1" x="624"/>
        <item m="1" x="1805"/>
        <item m="1" x="2408"/>
        <item x="306"/>
        <item m="1" x="2960"/>
        <item x="469"/>
        <item m="1" x="4079"/>
        <item m="1" x="3191"/>
        <item m="1" x="1073"/>
        <item x="169"/>
        <item x="487"/>
        <item x="497"/>
        <item m="1" x="663"/>
        <item m="1" x="4130"/>
        <item m="1" x="1620"/>
        <item m="1" x="961"/>
        <item x="457"/>
        <item m="1" x="2092"/>
        <item m="1" x="1389"/>
        <item m="1" x="1536"/>
        <item m="1" x="1718"/>
        <item m="1" x="3383"/>
        <item m="1" x="3641"/>
        <item m="1" x="3973"/>
        <item m="1" x="4241"/>
        <item m="1" x="1238"/>
        <item m="1" x="4584"/>
        <item x="548"/>
        <item m="1" x="4243"/>
        <item m="1" x="4486"/>
        <item m="1" x="4682"/>
        <item m="1" x="1957"/>
        <item m="1" x="4021"/>
        <item m="1" x="2949"/>
        <item m="1" x="2345"/>
        <item m="1" x="3829"/>
        <item m="1" x="4748"/>
        <item m="1" x="3838"/>
        <item m="1" x="1365"/>
        <item m="1" x="1740"/>
        <item x="287"/>
        <item m="1" x="4718"/>
        <item x="171"/>
        <item m="1" x="2978"/>
        <item m="1" x="1665"/>
        <item m="1" x="2033"/>
        <item m="1" x="3189"/>
        <item m="1" x="980"/>
        <item m="1" x="1764"/>
        <item m="1" x="3164"/>
        <item m="1" x="1166"/>
        <item m="1" x="4700"/>
        <item x="21"/>
        <item m="1" x="3392"/>
        <item m="1" x="3549"/>
        <item x="83"/>
        <item m="1" x="1695"/>
        <item m="1" x="2438"/>
        <item m="1" x="4733"/>
        <item x="483"/>
        <item m="1" x="3071"/>
        <item m="1" x="2858"/>
        <item m="1" x="4365"/>
        <item m="1" x="1249"/>
        <item m="1" x="3934"/>
        <item m="1" x="4265"/>
        <item m="1" x="1881"/>
        <item m="1" x="4758"/>
        <item m="1" x="4638"/>
        <item m="1" x="3162"/>
        <item m="1" x="3084"/>
        <item m="1" x="4855"/>
        <item m="1" x="4759"/>
        <item m="1" x="992"/>
        <item m="1" x="3237"/>
        <item m="1" x="4563"/>
        <item x="367"/>
        <item m="1" x="3746"/>
        <item m="1" x="767"/>
        <item m="1" x="852"/>
        <item m="1" x="1321"/>
        <item m="1" x="2772"/>
        <item m="1" x="3893"/>
        <item m="1" x="1370"/>
        <item m="1" x="2911"/>
        <item m="1" x="1484"/>
        <item m="1" x="1672"/>
        <item m="1" x="2488"/>
        <item m="1" x="3772"/>
        <item m="1" x="3512"/>
        <item m="1" x="2657"/>
        <item m="1" x="2682"/>
        <item m="1" x="1798"/>
        <item m="1" x="3059"/>
        <item m="1" x="3729"/>
        <item m="1" x="609"/>
        <item m="1" x="1989"/>
        <item m="1" x="1028"/>
        <item m="1" x="1827"/>
        <item m="1" x="4862"/>
        <item m="1" x="2600"/>
        <item m="1" x="4625"/>
        <item m="1" x="2580"/>
        <item m="1" x="2097"/>
        <item m="1" x="3544"/>
        <item m="1" x="3728"/>
        <item m="1" x="1662"/>
        <item m="1" x="3716"/>
        <item m="1" x="3308"/>
        <item m="1" x="3733"/>
        <item m="1" x="4367"/>
        <item x="484"/>
        <item m="1" x="4065"/>
        <item x="146"/>
        <item x="195"/>
        <item m="1" x="712"/>
        <item m="1" x="840"/>
        <item m="1" x="657"/>
        <item m="1" x="1027"/>
        <item m="1" x="3119"/>
        <item m="1" x="3009"/>
        <item m="1" x="2520"/>
        <item m="1" x="1179"/>
        <item m="1" x="2437"/>
        <item x="93"/>
        <item m="1" x="2476"/>
        <item m="1" x="3681"/>
        <item m="1" x="812"/>
        <item m="1" x="3685"/>
        <item x="99"/>
        <item m="1" x="786"/>
        <item x="153"/>
        <item m="1" x="4883"/>
        <item m="1" x="1480"/>
        <item m="1" x="1051"/>
        <item x="348"/>
        <item m="1" x="4739"/>
        <item m="1" x="3338"/>
        <item m="1" x="2275"/>
        <item m="1" x="678"/>
        <item x="52"/>
        <item m="1" x="3666"/>
        <item m="1" x="2014"/>
        <item m="1" x="1136"/>
        <item x="187"/>
        <item m="1" x="1427"/>
        <item m="1" x="1971"/>
        <item m="1" x="1661"/>
        <item m="1" x="4143"/>
        <item m="1" x="1878"/>
        <item m="1" x="1274"/>
        <item m="1" x="4548"/>
        <item m="1" x="4177"/>
        <item m="1" x="1244"/>
        <item m="1" x="2481"/>
        <item x="518"/>
        <item m="1" x="1702"/>
        <item m="1" x="1809"/>
        <item m="1" x="2974"/>
        <item x="203"/>
        <item m="1" x="4015"/>
        <item m="1" x="3401"/>
        <item m="1" x="2853"/>
        <item x="488"/>
        <item x="427"/>
        <item x="355"/>
        <item m="1" x="2029"/>
        <item x="381"/>
        <item m="1" x="2364"/>
        <item x="233"/>
        <item m="1" x="610"/>
        <item m="1" x="3242"/>
        <item m="1" x="1954"/>
        <item m="1" x="2906"/>
        <item m="1" x="3329"/>
        <item m="1" x="3016"/>
        <item m="1" x="3014"/>
        <item m="1" x="2728"/>
        <item m="1" x="770"/>
        <item m="1" x="2914"/>
        <item m="1" x="1886"/>
        <item x="118"/>
        <item m="1" x="2015"/>
        <item x="31"/>
        <item m="1" x="964"/>
        <item m="1" x="2248"/>
        <item m="1" x="2175"/>
        <item x="71"/>
        <item m="1" x="1775"/>
        <item m="1" x="3220"/>
        <item m="1" x="2261"/>
        <item m="1" x="888"/>
        <item m="1" x="919"/>
        <item m="1" x="4809"/>
        <item x="428"/>
        <item m="1" x="1943"/>
        <item m="1" x="3580"/>
        <item m="1" x="2536"/>
        <item m="1" x="2541"/>
        <item m="1" x="1440"/>
        <item m="1" x="2967"/>
        <item m="1" x="1260"/>
        <item m="1" x="2093"/>
        <item m="1" x="3990"/>
        <item m="1" x="669"/>
        <item m="1" x="4977"/>
        <item m="1" x="625"/>
        <item m="1" x="2095"/>
        <item m="1" x="3926"/>
        <item m="1" x="2847"/>
        <item m="1" x="2322"/>
        <item m="1" x="2855"/>
        <item m="1" x="4018"/>
        <item m="1" x="2194"/>
        <item m="1" x="4697"/>
        <item m="1" x="2327"/>
        <item m="1" x="1564"/>
        <item m="1" x="3771"/>
        <item x="290"/>
        <item x="350"/>
        <item m="1" x="2898"/>
        <item m="1" x="3006"/>
        <item m="1" x="737"/>
        <item m="1" x="4886"/>
        <item m="1" x="1104"/>
        <item m="1" x="4775"/>
        <item m="1" x="1783"/>
        <item m="1" x="3880"/>
        <item x="415"/>
        <item x="589"/>
        <item x="511"/>
        <item m="1" x="957"/>
        <item m="1" x="2123"/>
        <item m="1" x="4611"/>
        <item m="1" x="4828"/>
        <item m="1" x="3485"/>
        <item m="1" x="1502"/>
        <item m="1" x="4924"/>
        <item m="1" x="3418"/>
        <item m="1" x="886"/>
        <item m="1" x="4645"/>
        <item m="1" x="1182"/>
        <item m="1" x="894"/>
        <item m="1" x="4158"/>
        <item m="1" x="3739"/>
        <item m="1" x="3556"/>
        <item m="1" x="2597"/>
        <item m="1" x="4301"/>
        <item m="1" x="667"/>
        <item x="138"/>
        <item m="1" x="2691"/>
        <item m="1" x="1705"/>
        <item x="18"/>
        <item m="1" x="4036"/>
        <item m="1" x="3018"/>
        <item m="1" x="1940"/>
        <item m="1" x="1232"/>
        <item m="1" x="2508"/>
        <item m="1" x="2401"/>
        <item m="1" x="1690"/>
        <item m="1" x="4505"/>
        <item m="1" x="1788"/>
        <item m="1" x="1699"/>
        <item m="1" x="2726"/>
        <item m="1" x="2950"/>
        <item m="1" x="3425"/>
        <item m="1" x="834"/>
        <item m="1" x="4319"/>
        <item m="1" x="2002"/>
        <item x="284"/>
        <item m="1" x="3097"/>
        <item m="1" x="1183"/>
        <item m="1" x="3640"/>
        <item m="1" x="1134"/>
        <item m="1" x="4866"/>
        <item m="1" x="4747"/>
        <item m="1" x="2347"/>
        <item m="1" x="3448"/>
        <item m="1" x="703"/>
        <item m="1" x="1813"/>
        <item x="520"/>
        <item m="1" x="2077"/>
        <item x="55"/>
        <item m="1" x="801"/>
        <item m="1" x="1803"/>
        <item m="1" x="1815"/>
        <item m="1" x="4517"/>
        <item m="1" x="2633"/>
        <item m="1" x="2184"/>
        <item m="1" x="3803"/>
        <item m="1" x="1748"/>
        <item m="1" x="1476"/>
        <item x="424"/>
        <item m="1" x="1133"/>
        <item x="514"/>
        <item m="1" x="1071"/>
        <item m="1" x="2952"/>
        <item m="1" x="1127"/>
        <item m="1" x="4526"/>
        <item m="1" x="4355"/>
        <item m="1" x="3491"/>
        <item m="1" x="1992"/>
        <item m="1" x="1874"/>
        <item x="475"/>
        <item m="1" x="1543"/>
        <item m="1" x="758"/>
        <item x="529"/>
        <item m="1" x="668"/>
        <item m="1" x="4963"/>
        <item x="272"/>
        <item m="1" x="2293"/>
        <item m="1" x="4496"/>
        <item m="1" x="1947"/>
        <item m="1" x="2112"/>
        <item m="1" x="2187"/>
        <item m="1" x="4549"/>
        <item m="1" x="2346"/>
        <item m="1" x="1580"/>
        <item m="1" x="4322"/>
        <item x="377"/>
        <item m="1" x="717"/>
        <item m="1" x="4473"/>
        <item x="351"/>
        <item m="1" x="1415"/>
        <item m="1" x="1645"/>
        <item m="1" x="4061"/>
        <item m="1" x="1941"/>
        <item m="1" x="3085"/>
        <item m="1" x="2461"/>
        <item m="1" x="4132"/>
        <item m="1" x="642"/>
        <item m="1" x="2143"/>
        <item m="1" x="1473"/>
        <item m="1" x="4206"/>
        <item x="458"/>
        <item m="1" x="4968"/>
        <item m="1" x="3999"/>
        <item m="1" x="3540"/>
        <item m="1" x="3089"/>
        <item m="1" x="1689"/>
        <item m="1" x="3253"/>
        <item m="1" x="1030"/>
        <item m="1" x="2782"/>
        <item x="291"/>
        <item x="366"/>
        <item m="1" x="1895"/>
        <item m="1" x="3536"/>
        <item m="1" x="4801"/>
        <item m="1" x="3254"/>
        <item m="1" x="3949"/>
        <item m="1" x="3339"/>
        <item x="553"/>
        <item m="1" x="728"/>
        <item m="1" x="1917"/>
        <item m="1" x="3348"/>
        <item m="1" x="3333"/>
        <item m="1" x="2480"/>
        <item m="1" x="2392"/>
        <item m="1" x="4215"/>
        <item m="1" x="1199"/>
        <item m="1" x="4257"/>
        <item m="1" x="2139"/>
        <item m="1" x="4847"/>
        <item m="1" x="2810"/>
        <item m="1" x="4124"/>
        <item m="1" x="2411"/>
        <item m="1" x="4450"/>
        <item m="1" x="2156"/>
        <item m="1" x="2528"/>
        <item m="1" x="2116"/>
        <item m="1" x="1785"/>
        <item x="371"/>
        <item m="1" x="637"/>
        <item m="1" x="4773"/>
        <item m="1" x="3815"/>
        <item m="1" x="1287"/>
        <item m="1" x="2218"/>
        <item m="1" x="1910"/>
        <item m="1" x="739"/>
        <item x="236"/>
        <item m="1" x="3704"/>
        <item m="1" x="3161"/>
        <item m="1" x="881"/>
        <item m="1" x="4056"/>
        <item m="1" x="3022"/>
        <item m="1" x="2747"/>
        <item m="1" x="952"/>
        <item m="1" x="4626"/>
        <item m="1" x="1064"/>
        <item m="1" x="1186"/>
        <item m="1" x="4345"/>
        <item m="1" x="1656"/>
        <item m="1" x="1202"/>
        <item m="1" x="2373"/>
        <item m="1" x="3911"/>
        <item m="1" x="1532"/>
        <item m="1" x="2075"/>
        <item m="1" x="1398"/>
        <item m="1" x="3516"/>
        <item m="1" x="2724"/>
        <item m="1" x="2311"/>
        <item m="1" x="1761"/>
        <item m="1" x="4734"/>
        <item m="1" x="2884"/>
        <item m="1" x="763"/>
        <item m="1" x="3928"/>
        <item m="1" x="3166"/>
        <item m="1" x="1345"/>
        <item m="1" x="969"/>
        <item m="1" x="2532"/>
        <item m="1" x="2627"/>
        <item m="1" x="4498"/>
        <item m="1" x="1901"/>
        <item m="1" x="998"/>
        <item m="1" x="691"/>
        <item m="1" x="3769"/>
        <item m="1" x="4973"/>
        <item m="1" x="4640"/>
        <item m="1" x="1069"/>
        <item m="1" x="4541"/>
        <item m="1" x="2055"/>
        <item m="1" x="2996"/>
        <item m="1" x="1872"/>
        <item m="1" x="3791"/>
        <item m="1" x="4078"/>
        <item m="1" x="2492"/>
        <item m="1" x="3604"/>
        <item m="1" x="2013"/>
        <item m="1" x="2351"/>
        <item x="192"/>
        <item m="1" x="2612"/>
        <item m="1" x="3711"/>
        <item m="1" x="3506"/>
        <item m="1" x="4223"/>
        <item m="1" x="809"/>
        <item x="86"/>
        <item m="1" x="4510"/>
        <item m="1" x="2544"/>
        <item m="1" x="3471"/>
        <item m="1" x="2574"/>
        <item m="1" x="2815"/>
        <item m="1" x="1061"/>
        <item m="1" x="2901"/>
        <item m="1" x="4591"/>
        <item m="1" x="3577"/>
        <item m="1" x="3526"/>
        <item m="1" x="4007"/>
        <item x="34"/>
        <item m="1" x="2816"/>
        <item m="1" x="3602"/>
        <item x="113"/>
        <item m="1" x="2493"/>
        <item x="386"/>
        <item m="1" x="1053"/>
        <item m="1" x="3396"/>
        <item m="1" x="3035"/>
        <item m="1" x="1100"/>
        <item m="1" x="4612"/>
        <item m="1" x="2039"/>
        <item m="1" x="4306"/>
        <item x="77"/>
        <item x="304"/>
        <item m="1" x="4042"/>
        <item m="1" x="1396"/>
        <item m="1" x="2391"/>
        <item m="1" x="1969"/>
        <item m="1" x="2686"/>
        <item m="1" x="4459"/>
        <item m="1" x="3848"/>
        <item m="1" x="3994"/>
        <item m="1" x="3902"/>
        <item m="1" x="3795"/>
        <item m="1" x="781"/>
        <item m="1" x="3313"/>
        <item x="345"/>
        <item m="1" x="2678"/>
        <item x="372"/>
        <item m="1" x="3172"/>
        <item m="1" x="2672"/>
        <item m="1" x="2676"/>
        <item m="1" x="3660"/>
        <item m="1" x="3714"/>
        <item m="1" x="4976"/>
        <item m="1" x="3694"/>
        <item x="20"/>
        <item m="1" x="1339"/>
        <item x="273"/>
        <item m="1" x="2683"/>
        <item m="1" x="2087"/>
        <item m="1" x="2315"/>
        <item m="1" x="695"/>
        <item m="1" x="2646"/>
        <item m="1" x="3874"/>
        <item x="49"/>
        <item x="565"/>
        <item m="1" x="2671"/>
        <item m="1" x="756"/>
        <item m="1" x="2367"/>
        <item m="1" x="3582"/>
        <item m="1" x="3849"/>
        <item m="1" x="3586"/>
        <item x="166"/>
        <item m="1" x="3176"/>
        <item m="1" x="1383"/>
        <item m="1" x="3831"/>
        <item m="1" x="4353"/>
        <item m="1" x="4172"/>
        <item m="1" x="4794"/>
        <item m="1" x="1315"/>
        <item m="1" x="4445"/>
        <item m="1" x="3202"/>
        <item m="1" x="2630"/>
        <item m="1" x="4600"/>
        <item m="1" x="1510"/>
        <item m="1" x="4142"/>
        <item m="1" x="1115"/>
        <item m="1" x="2444"/>
        <item m="1" x="1632"/>
        <item m="1" x="1599"/>
        <item m="1" x="4346"/>
        <item m="1" x="4907"/>
        <item x="317"/>
        <item m="1" x="1962"/>
        <item m="1" x="2988"/>
        <item x="271"/>
        <item m="1" x="777"/>
        <item m="1" x="2645"/>
        <item m="1" x="1508"/>
        <item m="1" x="1214"/>
        <item m="1" x="4923"/>
        <item m="1" x="3327"/>
        <item m="1" x="1546"/>
        <item m="1" x="2658"/>
        <item m="1" x="4771"/>
        <item m="1" x="931"/>
        <item m="1" x="618"/>
        <item m="1" x="2193"/>
        <item m="1" x="4212"/>
        <item m="1" x="2787"/>
        <item m="1" x="4472"/>
        <item m="1" x="3030"/>
        <item m="1" x="4650"/>
        <item m="1" x="1754"/>
        <item x="137"/>
        <item m="1" x="3908"/>
        <item m="1" x="3875"/>
        <item m="1" x="2560"/>
        <item m="1" x="2283"/>
        <item m="1" x="3717"/>
        <item m="1" x="1099"/>
        <item m="1" x="1527"/>
        <item m="1" x="4887"/>
        <item m="1" x="4929"/>
        <item x="528"/>
        <item m="1" x="3595"/>
        <item m="1" x="1883"/>
        <item m="1" x="1361"/>
        <item m="1" x="1994"/>
        <item m="1" x="3205"/>
        <item m="1" x="1976"/>
        <item m="1" x="836"/>
        <item m="1" x="3553"/>
        <item m="1" x="1288"/>
        <item m="1" x="3671"/>
        <item m="1" x="4010"/>
        <item m="1" x="3039"/>
        <item m="1" x="3397"/>
        <item m="1" x="3992"/>
        <item m="1" x="1857"/>
        <item m="1" x="1709"/>
        <item m="1" x="4525"/>
        <item m="1" x="3832"/>
        <item m="1" x="4461"/>
        <item m="1" x="2305"/>
        <item x="60"/>
        <item m="1" x="1588"/>
        <item m="1" x="4106"/>
        <item m="1" x="1038"/>
        <item m="1" x="849"/>
        <item m="1" x="2680"/>
        <item m="1" x="3306"/>
        <item m="1" x="2887"/>
        <item m="1" x="1974"/>
        <item x="286"/>
        <item m="1" x="1638"/>
        <item m="1" x="2744"/>
        <item m="1" x="3754"/>
        <item m="1" x="4429"/>
        <item m="1" x="1062"/>
        <item m="1" x="3432"/>
        <item m="1" x="3380"/>
        <item m="1" x="4291"/>
        <item m="1" x="3174"/>
        <item m="1" x="861"/>
        <item x="499"/>
        <item m="1" x="2249"/>
        <item m="1" x="3213"/>
        <item m="1" x="1184"/>
        <item m="1" x="710"/>
        <item m="1" x="2353"/>
        <item m="1" x="2896"/>
        <item m="1" x="2084"/>
        <item m="1" x="2504"/>
        <item m="1" x="3542"/>
        <item m="1" x="3559"/>
        <item m="1" x="3749"/>
        <item x="470"/>
        <item m="1" x="670"/>
        <item m="1" x="1755"/>
        <item m="1" x="3931"/>
        <item m="1" x="4253"/>
        <item m="1" x="4653"/>
        <item m="1" x="4619"/>
        <item m="1" x="3013"/>
        <item m="1" x="4146"/>
        <item m="1" x="3187"/>
        <item m="1" x="4608"/>
        <item m="1" x="3700"/>
        <item x="569"/>
        <item m="1" x="4298"/>
        <item m="1" x="1677"/>
        <item m="1" x="4872"/>
        <item m="1" x="1307"/>
        <item m="1" x="4476"/>
        <item x="482"/>
        <item m="1" x="4315"/>
        <item m="1" x="2094"/>
        <item m="1" x="773"/>
        <item m="1" x="4702"/>
        <item x="435"/>
        <item m="1" x="1633"/>
        <item m="1" x="4857"/>
        <item m="1" x="3041"/>
        <item m="1" x="2430"/>
        <item m="1" x="1973"/>
        <item m="1" x="3279"/>
        <item m="1" x="4033"/>
        <item m="1" x="1451"/>
        <item m="1" x="766"/>
        <item m="1" x="970"/>
        <item m="1" x="4249"/>
        <item m="1" x="1320"/>
        <item m="1" x="3015"/>
        <item m="1" x="1820"/>
        <item m="1" x="1331"/>
        <item m="1" x="2825"/>
        <item m="1" x="1999"/>
        <item m="1" x="4769"/>
        <item m="1" x="1068"/>
        <item m="1" x="2588"/>
        <item x="356"/>
        <item m="1" x="789"/>
        <item m="1" x="797"/>
        <item m="1" x="2599"/>
        <item m="1" x="1548"/>
        <item m="1" x="3104"/>
        <item m="1" x="2656"/>
        <item m="1" x="2729"/>
        <item m="1" x="2924"/>
        <item m="1" x="4283"/>
        <item m="1" x="2274"/>
        <item m="1" x="1640"/>
        <item m="1" x="4272"/>
        <item m="1" x="4962"/>
        <item m="1" x="905"/>
        <item m="1" x="3163"/>
        <item m="1" x="3955"/>
        <item m="1" x="3517"/>
        <item m="1" x="4347"/>
        <item m="1" x="2309"/>
        <item m="1" x="898"/>
        <item m="1" x="1306"/>
        <item m="1" x="820"/>
        <item m="1" x="1262"/>
        <item m="1" x="787"/>
        <item m="1" x="1952"/>
        <item m="1" x="2845"/>
        <item m="1" x="2902"/>
        <item x="594"/>
        <item m="1" x="3750"/>
        <item m="1" x="4527"/>
        <item m="1" x="4960"/>
        <item x="471"/>
        <item m="1" x="1272"/>
        <item m="1" x="3226"/>
        <item m="1" x="3961"/>
        <item m="1" x="2585"/>
        <item m="1" x="2042"/>
        <item m="1" x="1553"/>
        <item x="30"/>
        <item m="1" x="2479"/>
        <item m="1" x="4362"/>
        <item m="1" x="4521"/>
        <item m="1" x="4537"/>
        <item x="456"/>
        <item m="1" x="1181"/>
        <item m="1" x="3947"/>
        <item m="1" x="2120"/>
        <item m="1" x="3482"/>
        <item m="1" x="640"/>
        <item m="1" x="2888"/>
        <item m="1" x="1447"/>
        <item m="1" x="3967"/>
        <item m="1" x="3590"/>
        <item m="1" x="3985"/>
        <item m="1" x="3178"/>
        <item x="495"/>
        <item m="1" x="4829"/>
        <item m="1" x="3461"/>
        <item m="1" x="2738"/>
        <item m="1" x="2628"/>
        <item m="1" x="3470"/>
        <item m="1" x="1781"/>
        <item m="1" x="4093"/>
        <item m="1" x="4876"/>
        <item m="1" x="2185"/>
        <item m="1" x="1222"/>
        <item m="1" x="3743"/>
        <item m="1" x="1200"/>
        <item m="1" x="4284"/>
        <item x="259"/>
        <item m="1" x="4363"/>
        <item m="1" x="1542"/>
        <item m="1" x="4506"/>
        <item x="512"/>
        <item m="1" x="1067"/>
        <item m="1" x="3049"/>
        <item m="1" x="2915"/>
        <item m="1" x="3851"/>
        <item m="1" x="1782"/>
        <item m="1" x="604"/>
        <item x="568"/>
        <item m="1" x="1870"/>
        <item m="1" x="1399"/>
        <item m="1" x="1773"/>
        <item m="1" x="4332"/>
        <item m="1" x="1557"/>
        <item m="1" x="4879"/>
        <item m="1" x="4041"/>
        <item m="1" x="2619"/>
        <item m="1" x="4123"/>
        <item m="1" x="1309"/>
        <item m="1" x="1196"/>
        <item m="1" x="955"/>
        <item m="1" x="1364"/>
        <item m="1" x="3808"/>
        <item x="361"/>
        <item m="1" x="3234"/>
        <item m="1" x="3759"/>
        <item m="1" x="4201"/>
        <item m="1" x="1084"/>
        <item m="1" x="2803"/>
        <item m="1" x="4565"/>
        <item m="1" x="4170"/>
        <item m="1" x="1348"/>
        <item m="1" x="4087"/>
        <item m="1" x="3183"/>
        <item x="390"/>
        <item x="347"/>
        <item x="269"/>
        <item m="1" x="4358"/>
        <item m="1" x="3593"/>
        <item m="1" x="2117"/>
        <item m="1" x="4195"/>
        <item m="1" x="3150"/>
        <item m="1" x="796"/>
        <item m="1" x="2223"/>
        <item m="1" x="1485"/>
        <item x="311"/>
        <item m="1" x="4189"/>
        <item x="105"/>
        <item m="1" x="4690"/>
        <item m="1" x="1547"/>
        <item m="1" x="1149"/>
        <item m="1" x="4631"/>
        <item m="1" x="2752"/>
        <item m="1" x="1230"/>
        <item m="1" x="1088"/>
        <item m="1" x="3623"/>
        <item m="1" x="4246"/>
        <item m="1" x="4354"/>
        <item m="1" x="3122"/>
        <item m="1" x="3589"/>
        <item x="600"/>
        <item m="1" x="1929"/>
        <item m="1" x="3689"/>
        <item m="1" x="4248"/>
        <item x="63"/>
        <item m="1" x="4544"/>
        <item m="1" x="1824"/>
        <item m="1" x="4821"/>
        <item m="1" x="3792"/>
        <item x="444"/>
        <item x="595"/>
        <item m="1" x="3737"/>
        <item x="231"/>
        <item x="246"/>
        <item x="502"/>
        <item m="1" x="3462"/>
        <item m="1" x="4558"/>
        <item m="1" x="4782"/>
        <item m="1" x="2856"/>
        <item m="1" x="2756"/>
        <item m="1" x="2205"/>
        <item m="1" x="727"/>
        <item m="1" x="3839"/>
        <item m="1" x="959"/>
        <item m="1" x="2217"/>
        <item m="1" x="1722"/>
        <item m="1" x="1007"/>
        <item m="1" x="4426"/>
        <item m="1" x="839"/>
        <item m="1" x="2113"/>
        <item m="1" x="1735"/>
        <item m="1" x="1729"/>
        <item x="268"/>
        <item m="1" x="4925"/>
        <item m="1" x="3083"/>
        <item m="1" x="1652"/>
        <item m="1" x="2360"/>
        <item m="1" x="3987"/>
        <item m="1" x="4571"/>
        <item m="1" x="3780"/>
        <item m="1" x="3899"/>
        <item m="1" x="2694"/>
        <item x="177"/>
        <item x="156"/>
        <item x="481"/>
        <item m="1" x="4398"/>
        <item m="1" x="2562"/>
        <item x="238"/>
        <item m="1" x="4648"/>
        <item m="1" x="4002"/>
        <item m="1" x="1120"/>
        <item m="1" x="1266"/>
        <item m="1" x="2603"/>
        <item m="1" x="1763"/>
        <item m="1" x="4491"/>
        <item x="590"/>
        <item m="1" x="1352"/>
        <item m="1" x="2690"/>
        <item m="1" x="2342"/>
        <item m="1" x="4133"/>
        <item m="1" x="2317"/>
        <item m="1" x="3548"/>
        <item m="1" x="1297"/>
        <item m="1" x="4062"/>
        <item x="560"/>
        <item m="1" x="1358"/>
        <item m="1" x="1382"/>
        <item m="1" x="1704"/>
        <item m="1" x="1341"/>
        <item m="1" x="1046"/>
        <item m="1" x="2882"/>
        <item m="1" x="3638"/>
        <item m="1" x="3762"/>
        <item m="1" x="2256"/>
        <item m="1" x="3785"/>
        <item m="1" x="3954"/>
        <item m="1" x="2697"/>
        <item x="56"/>
        <item m="1" x="1057"/>
        <item m="1" x="2913"/>
        <item m="1" x="1609"/>
        <item m="1" x="3765"/>
        <item m="1" x="939"/>
        <item m="1" x="2669"/>
        <item m="1" x="790"/>
        <item m="1" x="1984"/>
        <item m="1" x="3644"/>
        <item m="1" x="4636"/>
        <item m="1" x="3656"/>
        <item m="1" x="3215"/>
        <item m="1" x="2765"/>
        <item m="1" x="2758"/>
        <item m="1" x="1742"/>
        <item m="1" x="3910"/>
        <item m="1" x="1247"/>
        <item m="1" x="1664"/>
        <item m="1" x="3976"/>
        <item m="1" x="2880"/>
        <item m="1" x="3424"/>
        <item x="526"/>
        <item m="1" x="2146"/>
        <item m="1" x="4102"/>
        <item m="1" x="1240"/>
        <item m="1" x="1614"/>
        <item m="1" x="3578"/>
        <item m="1" x="1164"/>
        <item m="1" x="1189"/>
        <item m="1" x="1453"/>
        <item m="1" x="4368"/>
        <item m="1" x="2543"/>
        <item m="1" x="3487"/>
        <item m="1" x="2064"/>
        <item m="1" x="3894"/>
        <item m="1" x="2358"/>
        <item m="1" x="1322"/>
        <item m="1" x="4687"/>
        <item m="1" x="776"/>
        <item m="1" x="2422"/>
        <item m="1" x="2987"/>
        <item m="1" x="1412"/>
        <item m="1" x="1036"/>
        <item m="1" x="1114"/>
        <item m="1" x="4343"/>
        <item m="1" x="3618"/>
        <item m="1" x="1912"/>
        <item m="1" x="4160"/>
        <item m="1" x="4512"/>
        <item m="1" x="4710"/>
        <item m="1" x="2643"/>
        <item m="1" x="1439"/>
        <item m="1" x="2727"/>
        <item m="1" x="2063"/>
        <item m="1" x="3963"/>
        <item m="1" x="4751"/>
        <item x="498"/>
        <item m="1" x="869"/>
        <item x="189"/>
        <item m="1" x="3406"/>
        <item m="1" x="3073"/>
        <item m="1" x="1908"/>
        <item x="220"/>
        <item m="1" x="3825"/>
        <item m="1" x="2443"/>
        <item x="394"/>
        <item m="1" x="2951"/>
        <item m="1" x="4372"/>
        <item m="1" x="4915"/>
        <item x="173"/>
        <item x="440"/>
        <item m="1" x="4153"/>
        <item m="1" x="4207"/>
        <item m="1" x="746"/>
        <item m="1" x="648"/>
        <item x="383"/>
        <item x="11"/>
        <item m="1" x="3020"/>
        <item m="1" x="838"/>
        <item m="1" x="785"/>
        <item m="1" x="804"/>
        <item m="1" x="3981"/>
        <item m="1" x="4853"/>
        <item m="1" x="4202"/>
        <item x="94"/>
        <item m="1" x="2926"/>
        <item m="1" x="4937"/>
        <item m="1" x="2328"/>
        <item m="1" x="1866"/>
        <item m="1" x="2664"/>
        <item m="1" x="3196"/>
        <item m="1" x="1039"/>
        <item m="1" x="1810"/>
        <item m="1" x="3678"/>
        <item m="1" x="4316"/>
        <item m="1" x="751"/>
        <item m="1" x="1492"/>
        <item m="1" x="4115"/>
        <item m="1" x="829"/>
        <item m="1" x="3404"/>
        <item m="1" x="2783"/>
        <item x="168"/>
        <item m="1" x="2230"/>
        <item m="1" x="4678"/>
        <item x="396"/>
        <item m="1" x="4844"/>
        <item m="1" x="3079"/>
        <item m="1" x="3924"/>
        <item m="1" x="4562"/>
        <item m="1" x="4911"/>
        <item m="1" x="1414"/>
        <item m="1" x="4499"/>
        <item m="1" x="1360"/>
        <item x="516"/>
        <item x="492"/>
        <item m="1" x="4454"/>
        <item m="1" x="633"/>
        <item m="1" x="3852"/>
        <item m="1" x="4422"/>
        <item m="1" x="1927"/>
        <item m="1" x="4975"/>
        <item m="1" x="3597"/>
        <item x="490"/>
        <item m="1" x="2405"/>
        <item x="184"/>
        <item x="180"/>
        <item m="1" x="4104"/>
        <item m="1" x="3293"/>
        <item m="1" x="1411"/>
        <item m="1" x="1234"/>
        <item m="1" x="1519"/>
        <item m="1" x="1799"/>
        <item m="1" x="4867"/>
        <item m="1" x="1132"/>
        <item m="1" x="3251"/>
        <item m="1" x="1047"/>
        <item m="1" x="1294"/>
        <item m="1" x="3732"/>
        <item m="1" x="4159"/>
        <item m="1" x="1328"/>
        <item m="1" x="2265"/>
        <item m="1" x="4039"/>
        <item m="1" x="2207"/>
        <item m="1" x="1250"/>
        <item m="1" x="2058"/>
        <item m="1" x="3478"/>
        <item x="248"/>
        <item m="1" x="982"/>
        <item x="35"/>
        <item m="1" x="1865"/>
        <item x="322"/>
        <item m="1" x="1418"/>
        <item x="591"/>
        <item m="1" x="1859"/>
        <item m="1" x="1534"/>
        <item m="1" x="4634"/>
        <item m="1" x="1095"/>
        <item m="1" x="4812"/>
        <item x="385"/>
        <item x="376"/>
        <item m="1" x="1579"/>
        <item x="408"/>
        <item m="1" x="2832"/>
        <item m="1" x="4983"/>
        <item m="1" x="675"/>
        <item x="42"/>
        <item m="1" x="1126"/>
        <item m="1" x="2750"/>
        <item m="1" x="3341"/>
        <item m="1" x="3882"/>
        <item x="234"/>
        <item m="1" x="4919"/>
        <item m="1" x="974"/>
        <item m="1" x="3005"/>
        <item m="1" x="918"/>
        <item m="1" x="3665"/>
        <item m="1" x="3476"/>
        <item m="1" x="752"/>
        <item m="1" x="1144"/>
        <item m="1" x="2835"/>
        <item m="1" x="3358"/>
        <item m="1" x="3779"/>
        <item m="1" x="1777"/>
        <item m="1" x="4030"/>
        <item m="1" x="2764"/>
        <item m="1" x="3475"/>
        <item m="1" x="2159"/>
        <item m="1" x="3116"/>
        <item m="1" x="4987"/>
        <item m="1" x="672"/>
        <item m="1" x="1572"/>
        <item m="1" x="3332"/>
        <item m="1" x="2865"/>
        <item m="1" x="938"/>
        <item m="1" x="942"/>
        <item x="463"/>
        <item m="1" x="979"/>
        <item m="1" x="2650"/>
        <item m="1" x="4330"/>
        <item m="1" x="1123"/>
        <item m="1" x="871"/>
        <item m="1" x="4356"/>
        <item m="1" x="716"/>
        <item m="1" x="4399"/>
        <item m="1" x="2483"/>
        <item x="598"/>
        <item m="1" x="684"/>
        <item m="1" x="3721"/>
        <item m="1" x="3281"/>
        <item m="1" x="4852"/>
        <item m="1" x="4676"/>
        <item m="1" x="3712"/>
        <item m="1" x="940"/>
        <item x="150"/>
        <item m="1" x="1313"/>
        <item m="1" x="873"/>
        <item m="1" x="4418"/>
        <item m="1" x="3273"/>
        <item m="1" x="3555"/>
        <item m="1" x="3511"/>
        <item m="1" x="1563"/>
        <item m="1" x="1537"/>
        <item x="79"/>
        <item m="1" x="4436"/>
        <item m="1" x="775"/>
        <item m="1" x="1334"/>
        <item m="1" x="1335"/>
        <item m="1" x="3897"/>
        <item m="1" x="4904"/>
        <item m="1" x="3258"/>
        <item m="1" x="1270"/>
        <item m="1" x="1539"/>
        <item x="340"/>
        <item m="1" x="749"/>
        <item m="1" x="3551"/>
        <item m="1" x="1156"/>
        <item x="375"/>
        <item m="1" x="4655"/>
        <item m="1" x="760"/>
        <item x="207"/>
        <item m="1" x="3535"/>
        <item m="1" x="4254"/>
        <item m="1" x="3207"/>
        <item m="1" x="2836"/>
        <item m="1" x="3480"/>
        <item m="1" x="2510"/>
        <item m="1" x="877"/>
        <item m="1" x="2225"/>
        <item m="1" x="2240"/>
        <item m="1" x="3444"/>
        <item m="1" x="2897"/>
        <item m="1" x="4712"/>
        <item m="1" x="1627"/>
        <item m="1" x="2368"/>
        <item m="1" x="859"/>
        <item m="1" x="3302"/>
        <item m="1" x="1354"/>
        <item m="1" x="1172"/>
        <item m="1" x="1864"/>
        <item m="1" x="3110"/>
        <item m="1" x="1675"/>
        <item x="64"/>
        <item m="1" x="1141"/>
        <item m="1" x="4948"/>
        <item m="1" x="2005"/>
        <item m="1" x="4234"/>
        <item m="1" x="1659"/>
        <item m="1" x="4774"/>
        <item m="1" x="4439"/>
        <item m="1" x="1223"/>
        <item m="1" x="2903"/>
        <item m="1" x="1346"/>
        <item m="1" x="629"/>
        <item m="1" x="3509"/>
        <item m="1" x="4408"/>
        <item m="1" x="3930"/>
        <item m="1" x="1511"/>
        <item m="1" x="1862"/>
        <item m="1" x="1623"/>
        <item m="1" x="1796"/>
        <item m="1" x="2785"/>
        <item m="1" x="2045"/>
        <item m="1" x="1676"/>
        <item m="1" x="650"/>
        <item m="1" x="1720"/>
        <item m="1" x="4731"/>
        <item m="1" x="2321"/>
        <item m="1" x="4261"/>
        <item m="1" x="4551"/>
        <item m="1" x="1751"/>
        <item m="1" x="4928"/>
        <item x="136"/>
        <item m="1" x="3492"/>
        <item m="1" x="4162"/>
        <item x="413"/>
        <item m="1" x="916"/>
        <item x="17"/>
        <item m="1" x="1970"/>
        <item m="1" x="1983"/>
        <item m="1" x="4043"/>
        <item m="1" x="2868"/>
        <item m="1" x="3194"/>
        <item m="1" x="2503"/>
        <item m="1" x="3710"/>
        <item m="1" x="3288"/>
        <item m="1" x="3495"/>
        <item m="1" x="4827"/>
        <item m="1" x="2570"/>
        <item m="1" x="4237"/>
        <item x="257"/>
        <item m="1" x="3761"/>
        <item m="1" x="4953"/>
        <item m="1" x="3352"/>
        <item m="1" x="3472"/>
        <item m="1" x="3614"/>
        <item x="205"/>
        <item m="1" x="1535"/>
        <item m="1" x="4790"/>
        <item m="1" x="1049"/>
        <item m="1" x="3915"/>
        <item m="1" x="1737"/>
        <item m="1" x="2157"/>
        <item x="307"/>
        <item m="1" x="930"/>
        <item x="78"/>
        <item m="1" x="4912"/>
        <item m="1" x="1013"/>
        <item m="1" x="706"/>
        <item m="1" x="827"/>
        <item m="1" x="4303"/>
        <item m="1" x="4778"/>
        <item m="1" x="4673"/>
        <item m="1" x="2833"/>
        <item m="1" x="1708"/>
        <item m="1" x="4054"/>
        <item m="1" x="1423"/>
        <item m="1" x="4055"/>
        <item x="378"/>
        <item x="551"/>
        <item m="1" x="2976"/>
        <item m="1" x="724"/>
        <item m="1" x="1443"/>
        <item m="1" x="3525"/>
        <item m="1" x="1330"/>
        <item m="1" x="2154"/>
        <item m="1" x="2173"/>
        <item m="1" x="2098"/>
        <item m="1" x="3858"/>
        <item m="1" x="3002"/>
        <item x="13"/>
        <item m="1" x="806"/>
        <item m="1" x="3677"/>
        <item m="1" x="3400"/>
        <item m="1" x="993"/>
        <item m="1" x="1337"/>
        <item m="1" x="2122"/>
        <item m="1" x="2638"/>
        <item m="1" x="2606"/>
        <item m="1" x="1403"/>
        <item x="517"/>
        <item m="1" x="2089"/>
        <item m="1" x="3452"/>
        <item m="1" x="811"/>
        <item m="1" x="1052"/>
        <item m="1" x="1170"/>
        <item m="1" x="3617"/>
        <item m="1" x="3969"/>
        <item m="1" x="3201"/>
        <item x="212"/>
        <item m="1" x="4164"/>
        <item m="1" x="631"/>
        <item m="1" x="3518"/>
        <item m="1" x="1728"/>
        <item m="1" x="1846"/>
        <item m="1" x="850"/>
        <item m="1" x="1568"/>
        <item m="1" x="1397"/>
        <item m="1" x="876"/>
        <item m="1" x="4719"/>
        <item m="1" x="1029"/>
        <item m="1" x="1119"/>
        <item m="1" x="2522"/>
        <item m="1" x="2776"/>
        <item m="1" x="1611"/>
        <item m="1" x="3757"/>
        <item m="1" x="634"/>
        <item m="1" x="4858"/>
        <item m="1" x="4446"/>
        <item m="1" x="705"/>
        <item m="1" x="2426"/>
        <item m="1" x="912"/>
        <item m="1" x="1094"/>
        <item m="1" x="3869"/>
        <item m="1" x="1153"/>
        <item m="1" x="3081"/>
        <item m="1" x="4524"/>
        <item t="default"/>
      </items>
    </pivotField>
    <pivotField showAll="0"/>
    <pivotField showAll="0"/>
    <pivotField dataField="1" numFmtId="165" showAll="0"/>
    <pivotField numFmtId="2" showAll="0"/>
    <pivotField axis="axisRow" dataField="1" showAll="0" measureFilter="1" sortType="descending">
      <items count="28">
        <item sd="0" x="0"/>
        <item sd="0" x="23"/>
        <item x="8"/>
        <item sd="0" x="15"/>
        <item x="3"/>
        <item x="24"/>
        <item x="10"/>
        <item x="25"/>
        <item x="21"/>
        <item x="7"/>
        <item x="2"/>
        <item x="11"/>
        <item sd="0" x="5"/>
        <item x="20"/>
        <item x="22"/>
        <item x="19"/>
        <item m="1" x="26"/>
        <item x="16"/>
        <item x="1"/>
        <item x="13"/>
        <item x="14"/>
        <item x="12"/>
        <item x="4"/>
        <item x="18"/>
        <item sd="0" x="9"/>
        <item x="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2">
    <field x="6"/>
    <field x="1"/>
  </rowFields>
  <rowItems count="99">
    <i>
      <x v="24"/>
    </i>
    <i>
      <x/>
    </i>
    <i>
      <x v="4"/>
    </i>
    <i r="1">
      <x v="309"/>
    </i>
    <i r="1">
      <x v="386"/>
    </i>
    <i r="1">
      <x v="525"/>
    </i>
    <i r="1">
      <x v="529"/>
    </i>
    <i r="1">
      <x v="565"/>
    </i>
    <i r="1">
      <x v="666"/>
    </i>
    <i r="1">
      <x v="688"/>
    </i>
    <i r="1">
      <x v="844"/>
    </i>
    <i r="1">
      <x v="1225"/>
    </i>
    <i r="1">
      <x v="1469"/>
    </i>
    <i r="1">
      <x v="1758"/>
    </i>
    <i r="1">
      <x v="1788"/>
    </i>
    <i r="1">
      <x v="1880"/>
    </i>
    <i r="1">
      <x v="1924"/>
    </i>
    <i r="1">
      <x v="1939"/>
    </i>
    <i r="1">
      <x v="1940"/>
    </i>
    <i r="1">
      <x v="1984"/>
    </i>
    <i r="1">
      <x v="2064"/>
    </i>
    <i r="1">
      <x v="2325"/>
    </i>
    <i r="1">
      <x v="2400"/>
    </i>
    <i r="1">
      <x v="2453"/>
    </i>
    <i r="1">
      <x v="2577"/>
    </i>
    <i r="1">
      <x v="2672"/>
    </i>
    <i r="1">
      <x v="2679"/>
    </i>
    <i r="1">
      <x v="2795"/>
    </i>
    <i r="1">
      <x v="2990"/>
    </i>
    <i r="1">
      <x v="3033"/>
    </i>
    <i r="1">
      <x v="3034"/>
    </i>
    <i r="1">
      <x v="3095"/>
    </i>
    <i r="1">
      <x v="3192"/>
    </i>
    <i r="1">
      <x v="3401"/>
    </i>
    <i r="1">
      <x v="3408"/>
    </i>
    <i r="1">
      <x v="3519"/>
    </i>
    <i r="1">
      <x v="3773"/>
    </i>
    <i r="1">
      <x v="3914"/>
    </i>
    <i r="1">
      <x v="3918"/>
    </i>
    <i r="1">
      <x v="3961"/>
    </i>
    <i r="1">
      <x v="4013"/>
    </i>
    <i r="1">
      <x v="4489"/>
    </i>
    <i r="1">
      <x v="4499"/>
    </i>
    <i r="1">
      <x v="4524"/>
    </i>
    <i r="1">
      <x v="4556"/>
    </i>
    <i r="1">
      <x v="4591"/>
    </i>
    <i r="1">
      <x v="4667"/>
    </i>
    <i r="1">
      <x v="4696"/>
    </i>
    <i r="1">
      <x v="4705"/>
    </i>
    <i r="1">
      <x v="4814"/>
    </i>
    <i r="1">
      <x v="4883"/>
    </i>
    <i r="1">
      <x v="4888"/>
    </i>
    <i r="1">
      <x v="4901"/>
    </i>
    <i>
      <x v="12"/>
    </i>
    <i>
      <x v="11"/>
    </i>
    <i r="1">
      <x v="119"/>
    </i>
    <i r="1">
      <x v="206"/>
    </i>
    <i r="1">
      <x v="244"/>
    </i>
    <i r="1">
      <x v="372"/>
    </i>
    <i r="1">
      <x v="396"/>
    </i>
    <i r="1">
      <x v="474"/>
    </i>
    <i r="1">
      <x v="678"/>
    </i>
    <i r="1">
      <x v="805"/>
    </i>
    <i r="1">
      <x v="1044"/>
    </i>
    <i r="1">
      <x v="1280"/>
    </i>
    <i r="1">
      <x v="1339"/>
    </i>
    <i r="1">
      <x v="1364"/>
    </i>
    <i r="1">
      <x v="1368"/>
    </i>
    <i r="1">
      <x v="1371"/>
    </i>
    <i r="1">
      <x v="1617"/>
    </i>
    <i r="1">
      <x v="1658"/>
    </i>
    <i r="1">
      <x v="1727"/>
    </i>
    <i r="1">
      <x v="1772"/>
    </i>
    <i r="1">
      <x v="1865"/>
    </i>
    <i r="1">
      <x v="2132"/>
    </i>
    <i r="1">
      <x v="2231"/>
    </i>
    <i r="1">
      <x v="2446"/>
    </i>
    <i r="1">
      <x v="2448"/>
    </i>
    <i r="1">
      <x v="2620"/>
    </i>
    <i r="1">
      <x v="2912"/>
    </i>
    <i r="1">
      <x v="3041"/>
    </i>
    <i r="1">
      <x v="3060"/>
    </i>
    <i r="1">
      <x v="3083"/>
    </i>
    <i r="1">
      <x v="3174"/>
    </i>
    <i r="1">
      <x v="3280"/>
    </i>
    <i r="1">
      <x v="3396"/>
    </i>
    <i r="1">
      <x v="3460"/>
    </i>
    <i r="1">
      <x v="3499"/>
    </i>
    <i r="1">
      <x v="3949"/>
    </i>
    <i r="1">
      <x v="4102"/>
    </i>
    <i r="1">
      <x v="4110"/>
    </i>
    <i r="1">
      <x v="4160"/>
    </i>
    <i r="1">
      <x v="4191"/>
    </i>
    <i r="1">
      <x v="4355"/>
    </i>
    <i r="1">
      <x v="4546"/>
    </i>
    <i r="1">
      <x v="4557"/>
    </i>
    <i r="1">
      <x v="4569"/>
    </i>
    <i r="1">
      <x v="4951"/>
    </i>
    <i t="grand">
      <x/>
    </i>
  </rowItems>
  <colFields count="1">
    <field x="-2"/>
  </colFields>
  <colItems count="2">
    <i>
      <x/>
    </i>
    <i i="1">
      <x v="1"/>
    </i>
  </colItems>
  <dataFields count="2">
    <dataField name="Count of Industry" fld="6" subtotal="count" baseField="0" baseItem="0"/>
    <dataField name="Sum of Revenue" fld="4" baseField="0" baseItem="0" numFmtId="165"/>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24090C-42EB-45A5-8331-2E8896EEE8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dustries">
  <location ref="B2:D8" firstHeaderRow="0" firstDataRow="1" firstDataCol="1"/>
  <pivotFields count="15">
    <pivotField showAll="0"/>
    <pivotField showAll="0"/>
    <pivotField showAll="0"/>
    <pivotField showAll="0"/>
    <pivotField numFmtId="165" showAll="0"/>
    <pivotField dataField="1" numFmtId="2" showAll="0"/>
    <pivotField axis="axisRow" dataField="1" showAll="0" measureFilter="1" sortType="descending">
      <items count="28">
        <item x="0"/>
        <item x="23"/>
        <item x="8"/>
        <item x="15"/>
        <item x="3"/>
        <item x="24"/>
        <item x="10"/>
        <item x="25"/>
        <item x="21"/>
        <item x="7"/>
        <item x="2"/>
        <item x="11"/>
        <item x="5"/>
        <item x="20"/>
        <item x="22"/>
        <item x="19"/>
        <item m="1" x="26"/>
        <item x="16"/>
        <item x="1"/>
        <item x="13"/>
        <item x="14"/>
        <item x="12"/>
        <item x="4"/>
        <item x="18"/>
        <item x="9"/>
        <item x="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6">
    <i>
      <x v="24"/>
    </i>
    <i>
      <x/>
    </i>
    <i>
      <x v="4"/>
    </i>
    <i>
      <x v="12"/>
    </i>
    <i>
      <x v="11"/>
    </i>
    <i t="grand">
      <x/>
    </i>
  </rowItems>
  <colFields count="1">
    <field x="-2"/>
  </colFields>
  <colItems count="2">
    <i>
      <x/>
    </i>
    <i i="1">
      <x v="1"/>
    </i>
  </colItems>
  <dataFields count="2">
    <dataField name="Count of Industry" fld="6" subtotal="count" baseField="0" baseItem="0"/>
    <dataField name="Average of Growth_%" fld="5" subtotal="average" baseField="5" baseItem="12" numFmtId="2"/>
  </dataFields>
  <chartFormats count="3">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7D9C55-4BC3-4F68-95E2-7D1A679402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dustries">
  <location ref="B13:D20" firstHeaderRow="0" firstDataRow="1" firstDataCol="1"/>
  <pivotFields count="15">
    <pivotField showAll="0"/>
    <pivotField showAll="0"/>
    <pivotField showAll="0"/>
    <pivotField showAll="0"/>
    <pivotField numFmtId="165" showAll="0"/>
    <pivotField dataField="1" numFmtId="2" showAll="0"/>
    <pivotField axis="axisRow" dataField="1" showAll="0" measureFilter="1" sortType="ascending">
      <items count="28">
        <item x="0"/>
        <item x="23"/>
        <item x="8"/>
        <item x="15"/>
        <item x="3"/>
        <item x="24"/>
        <item x="10"/>
        <item x="25"/>
        <item x="21"/>
        <item x="7"/>
        <item x="2"/>
        <item x="11"/>
        <item x="5"/>
        <item x="20"/>
        <item x="22"/>
        <item x="19"/>
        <item m="1" x="26"/>
        <item x="16"/>
        <item x="1"/>
        <item x="13"/>
        <item x="14"/>
        <item x="12"/>
        <item x="4"/>
        <item x="18"/>
        <item x="9"/>
        <item x="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7">
    <i>
      <x v="7"/>
    </i>
    <i>
      <x v="20"/>
    </i>
    <i>
      <x v="26"/>
    </i>
    <i>
      <x v="8"/>
    </i>
    <i>
      <x v="2"/>
    </i>
    <i>
      <x v="14"/>
    </i>
    <i t="grand">
      <x/>
    </i>
  </rowItems>
  <colFields count="1">
    <field x="-2"/>
  </colFields>
  <colItems count="2">
    <i>
      <x/>
    </i>
    <i i="1">
      <x v="1"/>
    </i>
  </colItems>
  <dataFields count="2">
    <dataField name="Count of Industry" fld="6" subtotal="count" baseField="0" baseItem="0"/>
    <dataField name="Average of Growth_%" fld="5" subtotal="average" baseField="5" baseItem="2" numFmtId="2"/>
  </dataField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B19C09-12FC-43C8-94D0-96716BECF9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2" firstHeaderRow="0" firstDataRow="1" firstDataCol="1"/>
  <pivotFields count="15">
    <pivotField showAll="0"/>
    <pivotField dataField="1" showAll="0"/>
    <pivotField axis="axisRow" showAll="0" measureFilter="1" sortType="descending">
      <items count="52">
        <item sd="0" x="23"/>
        <item sd="0" m="1" x="43"/>
        <item sd="0" x="0"/>
        <item sd="0" x="9"/>
        <item sd="0" x="10"/>
        <item sd="0" x="28"/>
        <item x="34"/>
        <item m="1" x="44"/>
        <item x="5"/>
        <item x="13"/>
        <item m="1" x="49"/>
        <item x="41"/>
        <item x="15"/>
        <item x="27"/>
        <item x="33"/>
        <item x="26"/>
        <item x="14"/>
        <item x="38"/>
        <item x="24"/>
        <item x="21"/>
        <item x="25"/>
        <item x="20"/>
        <item x="22"/>
        <item x="32"/>
        <item m="1" x="47"/>
        <item x="17"/>
        <item x="18"/>
        <item x="30"/>
        <item x="35"/>
        <item x="31"/>
        <item x="6"/>
        <item x="3"/>
        <item x="29"/>
        <item x="12"/>
        <item x="8"/>
        <item x="42"/>
        <item x="40"/>
        <item x="4"/>
        <item x="39"/>
        <item m="1" x="50"/>
        <item x="37"/>
        <item m="1" x="45"/>
        <item x="1"/>
        <item x="2"/>
        <item x="16"/>
        <item x="7"/>
        <item m="1" x="48"/>
        <item x="11"/>
        <item x="19"/>
        <item m="1" x="46"/>
        <item x="36"/>
        <item t="default"/>
      </items>
      <autoSortScope>
        <pivotArea dataOnly="0" outline="0" fieldPosition="0">
          <references count="1">
            <reference field="4294967294" count="1" selected="0">
              <x v="0"/>
            </reference>
          </references>
        </pivotArea>
      </autoSortScope>
    </pivotField>
    <pivotField showAll="0"/>
    <pivotField dataField="1" numFmtId="165" showAll="0"/>
    <pivotField numFmtId="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11">
    <i>
      <x v="3"/>
    </i>
    <i>
      <x v="8"/>
    </i>
    <i>
      <x v="43"/>
    </i>
    <i>
      <x v="33"/>
    </i>
    <i>
      <x v="45"/>
    </i>
    <i>
      <x v="13"/>
    </i>
    <i>
      <x v="9"/>
    </i>
    <i>
      <x v="19"/>
    </i>
    <i>
      <x v="4"/>
    </i>
    <i>
      <x v="26"/>
    </i>
    <i t="grand">
      <x/>
    </i>
  </rowItems>
  <colFields count="1">
    <field x="-2"/>
  </colFields>
  <colItems count="2">
    <i>
      <x/>
    </i>
    <i i="1">
      <x v="1"/>
    </i>
  </colItems>
  <dataFields count="2">
    <dataField name="Liczba firm" fld="1" subtotal="count" baseField="0" baseItem="0"/>
    <dataField name="Avg Revenue" fld="4" subtotal="average" baseField="2" baseItem="0" numFmtId="165"/>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E8DDBE-5D3D-4B79-A57B-82A4B03E9E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2" firstHeaderRow="0" firstDataRow="1" firstDataCol="1"/>
  <pivotFields count="15">
    <pivotField showAll="0"/>
    <pivotField dataField="1" showAll="0"/>
    <pivotField axis="axisRow" showAll="0" measureFilter="1" sortType="descending">
      <items count="52">
        <item sd="0" x="23"/>
        <item sd="0" m="1" x="43"/>
        <item sd="0" x="0"/>
        <item sd="0" x="9"/>
        <item sd="0" x="10"/>
        <item sd="0" x="28"/>
        <item x="34"/>
        <item m="1" x="44"/>
        <item x="5"/>
        <item x="13"/>
        <item m="1" x="49"/>
        <item x="41"/>
        <item x="15"/>
        <item x="27"/>
        <item x="33"/>
        <item x="26"/>
        <item x="14"/>
        <item x="38"/>
        <item x="24"/>
        <item x="21"/>
        <item x="25"/>
        <item x="20"/>
        <item x="22"/>
        <item x="32"/>
        <item m="1" x="47"/>
        <item x="17"/>
        <item x="18"/>
        <item x="30"/>
        <item x="35"/>
        <item x="31"/>
        <item x="6"/>
        <item x="3"/>
        <item x="29"/>
        <item x="12"/>
        <item x="8"/>
        <item x="42"/>
        <item x="40"/>
        <item x="4"/>
        <item x="39"/>
        <item m="1" x="50"/>
        <item x="37"/>
        <item m="1" x="45"/>
        <item x="1"/>
        <item x="2"/>
        <item x="16"/>
        <item x="7"/>
        <item m="1" x="48"/>
        <item x="11"/>
        <item x="19"/>
        <item m="1" x="46"/>
        <item x="36"/>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2"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11">
    <i>
      <x v="3"/>
    </i>
    <i>
      <x v="8"/>
    </i>
    <i>
      <x v="43"/>
    </i>
    <i>
      <x v="33"/>
    </i>
    <i>
      <x v="45"/>
    </i>
    <i>
      <x v="13"/>
    </i>
    <i>
      <x v="9"/>
    </i>
    <i>
      <x v="19"/>
    </i>
    <i>
      <x v="4"/>
    </i>
    <i>
      <x v="26"/>
    </i>
    <i t="grand">
      <x/>
    </i>
  </rowItems>
  <colFields count="1">
    <field x="-2"/>
  </colFields>
  <colItems count="2">
    <i>
      <x/>
    </i>
    <i i="1">
      <x v="1"/>
    </i>
  </colItems>
  <dataFields count="2">
    <dataField name="Liczba firm" fld="1" subtotal="count" baseField="0" baseItem="0"/>
    <dataField name="Average of Growth_%" fld="5" subtotal="average" baseField="2" baseItem="3" numFmtId="2"/>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A7EF2D-A56A-4D7A-978A-2DE4C3F9782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2" firstHeaderRow="0" firstDataRow="1" firstDataCol="1"/>
  <pivotFields count="15">
    <pivotField showAll="0"/>
    <pivotField dataField="1" showAll="0"/>
    <pivotField showAll="0" measureFilter="1" sortType="descending">
      <autoSortScope>
        <pivotArea dataOnly="0" outline="0" fieldPosition="0">
          <references count="1">
            <reference field="4294967294" count="1" selected="0">
              <x v="0"/>
            </reference>
          </references>
        </pivotArea>
      </autoSortScope>
    </pivotField>
    <pivotField showAll="0"/>
    <pivotField numFmtId="165" showAll="0"/>
    <pivotField dataField="1" numFmtId="2" showAll="0"/>
    <pivotField axis="axisRow" showAll="0" measureFilter="1" sortType="descending">
      <items count="28">
        <item x="0"/>
        <item x="23"/>
        <item x="8"/>
        <item x="15"/>
        <item x="3"/>
        <item x="24"/>
        <item x="10"/>
        <item x="25"/>
        <item x="21"/>
        <item x="7"/>
        <item x="2"/>
        <item x="11"/>
        <item x="5"/>
        <item x="20"/>
        <item x="22"/>
        <item x="19"/>
        <item m="1" x="26"/>
        <item x="16"/>
        <item x="1"/>
        <item x="13"/>
        <item x="14"/>
        <item x="12"/>
        <item x="4"/>
        <item x="18"/>
        <item x="9"/>
        <item x="6"/>
        <item x="1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11">
    <i>
      <x v="10"/>
    </i>
    <i>
      <x v="4"/>
    </i>
    <i>
      <x v="20"/>
    </i>
    <i>
      <x v="18"/>
    </i>
    <i>
      <x v="25"/>
    </i>
    <i>
      <x v="8"/>
    </i>
    <i>
      <x v="12"/>
    </i>
    <i>
      <x v="9"/>
    </i>
    <i>
      <x v="2"/>
    </i>
    <i>
      <x/>
    </i>
    <i t="grand">
      <x/>
    </i>
  </rowItems>
  <colFields count="1">
    <field x="-2"/>
  </colFields>
  <colItems count="2">
    <i>
      <x/>
    </i>
    <i i="1">
      <x v="1"/>
    </i>
  </colItems>
  <dataFields count="2">
    <dataField name="Liczba firm" fld="1" subtotal="count" baseField="0" baseItem="0"/>
    <dataField name="Average of Growth_%" fld="5" subtotal="average" baseField="2" baseItem="3"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6" type="count" evalOrder="-1" id="5" iMeasureFld="1">
      <autoFilter ref="A1">
        <filterColumn colId="0">
          <top10 val="10" filterVal="10"/>
        </filterColumn>
      </autoFilter>
    </filter>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5272BD-9EDC-4CAB-8FE4-16BC760842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34" firstHeaderRow="0" firstDataRow="1" firstDataCol="1"/>
  <pivotFields count="15">
    <pivotField showAll="0"/>
    <pivotField axis="axisRow" showAll="0" measureFilter="1" sortType="descending">
      <items count="4989">
        <item m="1" x="3682"/>
        <item m="1" x="4898"/>
        <item m="1" x="3650"/>
        <item m="1" x="735"/>
        <item m="1" x="4578"/>
        <item m="1" x="1366"/>
        <item x="68"/>
        <item m="1" x="1996"/>
        <item m="1" x="702"/>
        <item m="1" x="1669"/>
        <item m="1" x="4572"/>
        <item m="1" x="1256"/>
        <item x="181"/>
        <item m="1" x="3490"/>
        <item m="1" x="1278"/>
        <item m="1" x="4286"/>
        <item m="1" x="3935"/>
        <item m="1" x="4210"/>
        <item m="1" x="3941"/>
        <item m="1" x="1835"/>
        <item m="1" x="1004"/>
        <item m="1" x="4382"/>
        <item m="1" x="4918"/>
        <item m="1" x="1489"/>
        <item m="1" x="2100"/>
        <item m="1" x="4798"/>
        <item m="1" x="1318"/>
        <item m="1" x="4245"/>
        <item m="1" x="3884"/>
        <item m="1" x="971"/>
        <item m="1" x="3747"/>
        <item m="1" x="1142"/>
        <item m="1" x="4902"/>
        <item x="312"/>
        <item m="1" x="3004"/>
        <item m="1" x="3705"/>
        <item m="1" x="1797"/>
        <item m="1" x="1660"/>
        <item m="1" x="981"/>
        <item m="1" x="1436"/>
        <item m="1" x="4715"/>
        <item m="1" x="4533"/>
        <item m="1" x="3507"/>
        <item m="1" x="4704"/>
        <item m="1" x="4149"/>
        <item m="1" x="3532"/>
        <item m="1" x="4870"/>
        <item m="1" x="3697"/>
        <item x="69"/>
        <item m="1" x="3601"/>
        <item x="115"/>
        <item m="1" x="3591"/>
        <item m="1" x="1619"/>
        <item m="1" x="1684"/>
        <item m="1" x="632"/>
        <item m="1" x="1730"/>
        <item m="1" x="4796"/>
        <item m="1" x="1284"/>
        <item m="1" x="3695"/>
        <item m="1" x="3504"/>
        <item m="1" x="3736"/>
        <item m="1" x="4478"/>
        <item m="1" x="2203"/>
        <item m="1" x="3626"/>
        <item m="1" x="2546"/>
        <item m="1" x="2625"/>
        <item m="1" x="4522"/>
        <item m="1" x="1591"/>
        <item m="1" x="2436"/>
        <item m="1" x="3170"/>
        <item m="1" x="2312"/>
        <item m="1" x="1045"/>
        <item m="1" x="2711"/>
        <item m="1" x="3483"/>
        <item m="1" x="4546"/>
        <item m="1" x="4803"/>
        <item m="1" x="3822"/>
        <item m="1" x="3230"/>
        <item m="1" x="2969"/>
        <item m="1" x="3600"/>
        <item m="1" x="2386"/>
        <item m="1" x="2822"/>
        <item x="451"/>
        <item m="1" x="2199"/>
        <item m="1" x="2383"/>
        <item m="1" x="2153"/>
        <item m="1" x="3952"/>
        <item x="493"/>
        <item m="1" x="1634"/>
        <item m="1" x="4139"/>
        <item m="1" x="2090"/>
        <item m="1" x="3819"/>
        <item m="1" x="4641"/>
        <item m="1" x="3108"/>
        <item m="1" x="3995"/>
        <item m="1" x="4327"/>
        <item m="1" x="4698"/>
        <item m="1" x="4933"/>
        <item m="1" x="4232"/>
        <item m="1" x="1736"/>
        <item m="1" x="2502"/>
        <item m="1" x="2945"/>
        <item m="1" x="3322"/>
        <item m="1" x="3724"/>
        <item m="1" x="4083"/>
        <item m="1" x="1752"/>
        <item m="1" x="2306"/>
        <item m="1" x="694"/>
        <item m="1" x="2108"/>
        <item m="1" x="1417"/>
        <item m="1" x="4826"/>
        <item m="1" x="2834"/>
        <item m="1" x="4913"/>
        <item m="1" x="4735"/>
        <item m="1" x="3090"/>
        <item m="1" x="3115"/>
        <item m="1" x="718"/>
        <item m="1" x="4028"/>
        <item m="1" x="2390"/>
        <item x="167"/>
        <item m="1" x="2310"/>
        <item m="1" x="693"/>
        <item m="1" x="2254"/>
        <item m="1" x="3145"/>
        <item m="1" x="3978"/>
        <item m="1" x="783"/>
        <item m="1" x="4945"/>
        <item m="1" x="1844"/>
        <item x="359"/>
        <item m="1" x="4433"/>
        <item x="509"/>
        <item m="1" x="1424"/>
        <item m="1" x="2296"/>
        <item m="1" x="1893"/>
        <item m="1" x="3211"/>
        <item m="1" x="2552"/>
        <item m="1" x="3864"/>
        <item m="1" x="1851"/>
        <item m="1" x="1434"/>
        <item x="416"/>
        <item m="1" x="3659"/>
        <item m="1" x="1378"/>
        <item m="1" x="4462"/>
        <item m="1" x="983"/>
        <item m="1" x="4581"/>
        <item m="1" x="2920"/>
        <item m="1" x="2586"/>
        <item x="403"/>
        <item m="1" x="3066"/>
        <item m="1" x="4147"/>
        <item m="1" x="4048"/>
        <item m="1" x="4285"/>
        <item m="1" x="1380"/>
        <item m="1" x="1601"/>
        <item m="1" x="4969"/>
        <item m="1" x="1356"/>
        <item m="1" x="2447"/>
        <item m="1" x="4689"/>
        <item m="1" x="1713"/>
        <item x="423"/>
        <item m="1" x="4732"/>
        <item x="279"/>
        <item m="1" x="614"/>
        <item x="198"/>
        <item m="1" x="2663"/>
        <item m="1" x="4044"/>
        <item m="1" x="4494"/>
        <item m="1" x="1524"/>
        <item m="1" x="2417"/>
        <item m="1" x="3484"/>
        <item m="1" x="1369"/>
        <item m="1" x="2734"/>
        <item m="1" x="3412"/>
        <item m="1" x="1197"/>
        <item m="1" x="3062"/>
        <item m="1" x="2463"/>
        <item m="1" x="1800"/>
        <item m="1" x="2639"/>
        <item m="1" x="2477"/>
        <item m="1" x="1529"/>
        <item m="1" x="1458"/>
        <item m="1" x="1083"/>
        <item m="1" x="1242"/>
        <item m="1" x="2128"/>
        <item m="1" x="2369"/>
        <item m="1" x="4899"/>
        <item m="1" x="4435"/>
        <item m="1" x="2981"/>
        <item m="1" x="3630"/>
        <item m="1" x="2577"/>
        <item m="1" x="2326"/>
        <item m="1" x="1873"/>
        <item m="1" x="646"/>
        <item m="1" x="4163"/>
        <item m="1" x="1078"/>
        <item m="1" x="4838"/>
        <item m="1" x="3948"/>
        <item m="1" x="2341"/>
        <item m="1" x="4392"/>
        <item m="1" x="2242"/>
        <item x="152"/>
        <item m="1" x="4198"/>
        <item m="1" x="3268"/>
        <item m="1" x="2799"/>
        <item m="1" x="628"/>
        <item m="1" x="1279"/>
        <item x="539"/>
        <item m="1" x="3133"/>
        <item x="283"/>
        <item x="446"/>
        <item m="1" x="2410"/>
        <item m="1" x="1338"/>
        <item m="1" x="1891"/>
        <item m="1" x="3003"/>
        <item m="1" x="3861"/>
        <item m="1" x="1167"/>
        <item x="298"/>
        <item x="467"/>
        <item m="1" x="1646"/>
        <item m="1" x="2714"/>
        <item m="1" x="4052"/>
        <item m="1" x="2474"/>
        <item m="1" x="3282"/>
        <item m="1" x="2021"/>
        <item m="1" x="3144"/>
        <item m="1" x="3208"/>
        <item m="1" x="2746"/>
        <item m="1" x="4531"/>
        <item m="1" x="4878"/>
        <item x="39"/>
        <item m="1" x="3023"/>
        <item m="1" x="978"/>
        <item m="1" x="4956"/>
        <item m="1" x="3244"/>
        <item m="1" x="2006"/>
        <item m="1" x="4280"/>
        <item m="1" x="4067"/>
        <item m="1" x="3054"/>
        <item x="575"/>
        <item m="1" x="1935"/>
        <item m="1" x="3569"/>
        <item x="119"/>
        <item m="1" x="3440"/>
        <item m="1" x="3741"/>
        <item x="142"/>
        <item m="1" x="2904"/>
        <item m="1" x="2958"/>
        <item m="1" x="1758"/>
        <item x="576"/>
        <item m="1" x="3876"/>
        <item m="1" x="3668"/>
        <item m="1" x="3827"/>
        <item m="1" x="1802"/>
        <item m="1" x="3755"/>
        <item m="1" x="4226"/>
        <item m="1" x="3219"/>
        <item m="1" x="2797"/>
        <item x="292"/>
        <item m="1" x="1042"/>
        <item m="1" x="3613"/>
        <item m="1" x="2464"/>
        <item m="1" x="4501"/>
        <item x="96"/>
        <item m="1" x="3368"/>
        <item m="1" x="897"/>
        <item m="1" x="4880"/>
        <item m="1" x="1725"/>
        <item m="1" x="2899"/>
        <item m="1" x="4661"/>
        <item m="1" x="977"/>
        <item m="1" x="4947"/>
        <item m="1" x="4832"/>
        <item m="1" x="4979"/>
        <item m="1" x="4958"/>
        <item m="1" x="3411"/>
        <item m="1" x="4620"/>
        <item m="1" x="2088"/>
        <item m="1" x="4583"/>
        <item m="1" x="771"/>
        <item m="1" x="2877"/>
        <item m="1" x="818"/>
        <item m="1" x="3390"/>
        <item x="27"/>
        <item m="1" x="2318"/>
        <item m="1" x="1420"/>
        <item m="1" x="2406"/>
        <item m="1" x="1496"/>
        <item m="1" x="1192"/>
        <item m="1" x="3337"/>
        <item m="1" x="1236"/>
        <item m="1" x="3592"/>
        <item m="1" x="2498"/>
        <item m="1" x="3906"/>
        <item m="1" x="3974"/>
        <item m="1" x="4180"/>
        <item m="1" x="757"/>
        <item x="15"/>
        <item m="1" x="891"/>
        <item m="1" x="2514"/>
        <item m="1" x="1441"/>
        <item m="1" x="4787"/>
        <item x="459"/>
        <item m="1" x="4556"/>
        <item x="401"/>
        <item m="1" x="4664"/>
        <item m="1" x="4008"/>
        <item m="1" x="2399"/>
        <item m="1" x="3428"/>
        <item x="582"/>
        <item x="587"/>
        <item m="1" x="4694"/>
        <item m="1" x="2587"/>
        <item m="1" x="3862"/>
        <item m="1" x="2434"/>
        <item m="1" x="973"/>
        <item m="1" x="1102"/>
        <item m="1" x="1478"/>
        <item m="1" x="664"/>
        <item m="1" x="4187"/>
        <item m="1" x="2102"/>
        <item m="1" x="3657"/>
        <item m="1" x="4576"/>
        <item m="1" x="1823"/>
        <item m="1" x="3892"/>
        <item m="1" x="2979"/>
        <item x="398"/>
        <item m="1" x="3389"/>
        <item m="1" x="847"/>
        <item m="1" x="4220"/>
        <item m="1" x="3598"/>
        <item m="1" x="1019"/>
        <item m="1" x="4098"/>
        <item m="1" x="4729"/>
        <item m="1" x="1850"/>
        <item m="1" x="2775"/>
        <item m="1" x="4273"/>
        <item m="1" x="2770"/>
        <item m="1" x="3335"/>
        <item m="1" x="2719"/>
        <item m="1" x="2567"/>
        <item m="1" x="729"/>
        <item m="1" x="1008"/>
        <item m="1" x="2801"/>
        <item m="1" x="2019"/>
        <item m="1" x="3077"/>
        <item m="1" x="3314"/>
        <item m="1" x="3000"/>
        <item m="1" x="3647"/>
        <item m="1" x="1283"/>
        <item m="1" x="2828"/>
        <item x="148"/>
        <item m="1" x="1271"/>
        <item m="1" x="3199"/>
        <item m="1" x="3965"/>
        <item m="1" x="3303"/>
        <item m="1" x="3606"/>
        <item m="1" x="4113"/>
        <item m="1" x="2487"/>
        <item m="1" x="3294"/>
        <item m="1" x="3284"/>
        <item x="331"/>
        <item m="1" x="1560"/>
        <item m="1" x="4288"/>
        <item m="1" x="680"/>
        <item m="1" x="4635"/>
        <item m="1" x="4875"/>
        <item m="1" x="3228"/>
        <item m="1" x="2308"/>
        <item m="1" x="1766"/>
        <item m="1" x="3628"/>
        <item m="1" x="2387"/>
        <item m="1" x="4214"/>
        <item x="460"/>
        <item m="1" x="2202"/>
        <item m="1" x="4811"/>
        <item x="411"/>
        <item x="143"/>
        <item m="1" x="4723"/>
        <item m="1" x="1691"/>
        <item m="1" x="4585"/>
        <item m="1" x="2234"/>
        <item m="1" x="2211"/>
        <item m="1" x="1349"/>
        <item m="1" x="4535"/>
        <item m="1" x="1392"/>
        <item m="1" x="4302"/>
        <item x="563"/>
        <item m="1" x="3347"/>
        <item m="1" x="3318"/>
        <item m="1" x="2730"/>
        <item m="1" x="3177"/>
        <item m="1" x="2533"/>
        <item m="1" x="3320"/>
        <item x="82"/>
        <item m="1" x="1817"/>
        <item m="1" x="3255"/>
        <item x="66"/>
        <item m="1" x="1384"/>
        <item x="434"/>
        <item m="1" x="3222"/>
        <item m="1" x="4557"/>
        <item m="1" x="4483"/>
        <item m="1" x="4701"/>
        <item m="1" x="2379"/>
        <item m="1" x="2356"/>
        <item m="1" x="4034"/>
        <item m="1" x="4129"/>
        <item m="1" x="991"/>
        <item m="1" x="4561"/>
        <item m="1" x="2540"/>
        <item m="1" x="4203"/>
        <item m="1" x="3198"/>
        <item m="1" x="3764"/>
        <item m="1" x="1486"/>
        <item m="1" x="2415"/>
        <item m="1" x="1488"/>
        <item m="1" x="3687"/>
        <item m="1" x="4936"/>
        <item m="1" x="968"/>
        <item x="414"/>
        <item m="1" x="4903"/>
        <item m="1" x="1573"/>
        <item m="1" x="1336"/>
        <item m="1" x="682"/>
        <item m="1" x="2144"/>
        <item m="1" x="3844"/>
        <item m="1" x="2060"/>
        <item x="112"/>
        <item m="1" x="4240"/>
        <item m="1" x="3802"/>
        <item m="1" x="2170"/>
        <item m="1" x="3921"/>
        <item m="1" x="1077"/>
        <item m="1" x="1520"/>
        <item m="1" x="1460"/>
        <item m="1" x="3076"/>
        <item m="1" x="3241"/>
        <item m="1" x="1710"/>
        <item m="1" x="1092"/>
        <item m="1" x="1858"/>
        <item m="1" x="2641"/>
        <item x="227"/>
        <item m="1" x="2943"/>
        <item m="1" x="4910"/>
        <item m="1" x="3233"/>
        <item m="1" x="4490"/>
        <item m="1" x="2244"/>
        <item m="1" x="3231"/>
        <item m="1" x="738"/>
        <item m="1" x="3636"/>
        <item m="1" x="4560"/>
        <item m="1" x="4605"/>
        <item m="1" x="1139"/>
        <item x="24"/>
        <item m="1" x="1625"/>
        <item m="1" x="2486"/>
        <item m="1" x="769"/>
        <item m="1" x="2954"/>
        <item m="1" x="1082"/>
        <item x="200"/>
        <item m="1" x="3572"/>
        <item m="1" x="3086"/>
        <item m="1" x="1117"/>
        <item m="1" x="1372"/>
        <item x="431"/>
        <item m="1" x="2290"/>
        <item x="597"/>
        <item m="1" x="4495"/>
        <item m="1" x="4484"/>
        <item x="352"/>
        <item m="1" x="875"/>
        <item m="1" x="2692"/>
        <item m="1" x="1545"/>
        <item m="1" x="4194"/>
        <item x="108"/>
        <item m="1" x="1483"/>
        <item m="1" x="1985"/>
        <item m="1" x="2031"/>
        <item m="1" x="3235"/>
        <item m="1" x="3843"/>
        <item m="1" x="1816"/>
        <item x="426"/>
        <item x="559"/>
        <item m="1" x="1806"/>
        <item m="1" x="3385"/>
        <item m="1" x="4178"/>
        <item x="120"/>
        <item m="1" x="3171"/>
        <item m="1" x="4938"/>
        <item m="1" x="1889"/>
        <item m="1" x="1290"/>
        <item m="1" x="3777"/>
        <item m="1" x="2791"/>
        <item m="1" x="1622"/>
        <item m="1" x="966"/>
        <item m="1" x="4808"/>
        <item m="1" x="4292"/>
        <item m="1" x="2584"/>
        <item m="1" x="1118"/>
        <item m="1" x="4038"/>
        <item m="1" x="1847"/>
        <item m="1" x="865"/>
        <item x="310"/>
        <item m="1" x="3562"/>
        <item m="1" x="4480"/>
        <item m="1" x="4835"/>
        <item m="1" x="1210"/>
        <item m="1" x="2380"/>
        <item x="254"/>
        <item m="1" x="3029"/>
        <item m="1" x="3032"/>
        <item x="522"/>
        <item x="550"/>
        <item m="1" x="2623"/>
        <item m="1" x="2846"/>
        <item m="1" x="2673"/>
        <item m="1" x="3686"/>
        <item x="439"/>
        <item m="1" x="2482"/>
        <item m="1" x="2693"/>
        <item m="1" x="1854"/>
        <item m="1" x="676"/>
        <item m="1" x="4118"/>
        <item m="1" x="802"/>
        <item m="1" x="3051"/>
        <item x="6"/>
        <item m="1" x="2101"/>
        <item m="1" x="813"/>
        <item m="1" x="1093"/>
        <item x="525"/>
        <item m="1" x="1143"/>
        <item m="1" x="808"/>
        <item m="1" x="4281"/>
        <item m="1" x="3889"/>
        <item m="1" x="1597"/>
        <item m="1" x="2245"/>
        <item m="1" x="2653"/>
        <item m="1" x="1386"/>
        <item m="1" x="3252"/>
        <item m="1" x="988"/>
        <item m="1" x="933"/>
        <item x="45"/>
        <item m="1" x="1165"/>
        <item m="1" x="2518"/>
        <item m="1" x="2537"/>
        <item m="1" x="2841"/>
        <item m="1" x="2229"/>
        <item m="1" x="1958"/>
        <item m="1" x="4728"/>
        <item m="1" x="1218"/>
        <item m="1" x="4670"/>
        <item m="1" x="3192"/>
        <item x="29"/>
        <item m="1" x="1871"/>
        <item x="303"/>
        <item m="1" x="2050"/>
        <item m="1" x="1945"/>
        <item m="1" x="4188"/>
        <item m="1" x="2191"/>
        <item m="1" x="4497"/>
        <item m="1" x="2702"/>
        <item m="1" x="1575"/>
        <item m="1" x="2814"/>
        <item m="1" x="3855"/>
        <item m="1" x="1065"/>
        <item x="316"/>
        <item m="1" x="963"/>
        <item m="1" x="2642"/>
        <item m="1" x="2854"/>
        <item m="1" x="1015"/>
        <item m="1" x="4040"/>
        <item m="1" x="1744"/>
        <item m="1" x="3726"/>
        <item m="1" x="3709"/>
        <item x="339"/>
        <item m="1" x="1875"/>
        <item m="1" x="4420"/>
        <item m="1" x="2010"/>
        <item m="1" x="1637"/>
        <item m="1" x="1148"/>
        <item m="1" x="1343"/>
        <item m="1" x="4108"/>
        <item m="1" x="1584"/>
        <item m="1" x="3774"/>
        <item m="1" x="2043"/>
        <item m="1" x="1268"/>
        <item m="1" x="2297"/>
        <item m="1" x="3459"/>
        <item m="1" x="864"/>
        <item m="1" x="3456"/>
        <item m="1" x="1362"/>
        <item m="1" x="3250"/>
        <item m="1" x="1967"/>
        <item m="1" x="1804"/>
        <item m="1" x="2722"/>
        <item m="1" x="3312"/>
        <item m="1" x="4597"/>
        <item m="1" x="1470"/>
        <item m="1" x="2886"/>
        <item m="1" x="4213"/>
        <item m="1" x="2531"/>
        <item m="1" x="3437"/>
        <item m="1" x="4831"/>
        <item m="1" x="4515"/>
        <item m="1" x="1203"/>
        <item m="1" x="1879"/>
        <item m="1" x="4724"/>
        <item m="1" x="4193"/>
        <item x="599"/>
        <item m="1" x="1515"/>
        <item m="1" x="3903"/>
        <item m="1" x="821"/>
        <item m="1" x="1432"/>
        <item m="1" x="2655"/>
        <item m="1" x="4318"/>
        <item m="1" x="792"/>
        <item m="1" x="3958"/>
        <item x="507"/>
        <item x="328"/>
        <item m="1" x="1514"/>
        <item m="1" x="4406"/>
        <item m="1" x="2735"/>
        <item m="1" x="3528"/>
        <item m="1" x="1140"/>
        <item m="1" x="2142"/>
        <item m="1" x="4917"/>
        <item m="1" x="742"/>
        <item m="1" x="893"/>
        <item m="1" x="3128"/>
        <item m="1" x="3703"/>
        <item m="1" x="4105"/>
        <item m="1" x="3261"/>
        <item x="84"/>
        <item m="1" x="1276"/>
        <item x="583"/>
        <item m="1" x="4395"/>
        <item x="256"/>
        <item m="1" x="1982"/>
        <item m="1" x="2511"/>
        <item m="1" x="4135"/>
        <item m="1" x="1138"/>
        <item m="1" x="828"/>
        <item m="1" x="1463"/>
        <item m="1" x="1869"/>
        <item m="1" x="1072"/>
        <item x="130"/>
        <item m="1" x="1845"/>
        <item m="1" x="4465"/>
        <item m="1" x="4313"/>
        <item m="1" x="943"/>
        <item x="485"/>
        <item m="1" x="4518"/>
        <item m="1" x="643"/>
        <item m="1" x="2749"/>
        <item m="1" x="2336"/>
        <item m="1" x="4242"/>
        <item m="1" x="2198"/>
        <item m="1" x="4208"/>
        <item m="1" x="826"/>
        <item m="1" x="4877"/>
        <item m="1" x="3269"/>
        <item m="1" x="2330"/>
        <item m="1" x="2935"/>
        <item m="1" x="846"/>
        <item m="1" x="2685"/>
        <item m="1" x="1786"/>
        <item x="164"/>
        <item m="1" x="996"/>
        <item m="1" x="845"/>
        <item x="480"/>
        <item m="1" x="2209"/>
        <item x="210"/>
        <item m="1" x="1374"/>
        <item m="1" x="1894"/>
        <item x="421"/>
        <item m="1" x="1479"/>
        <item m="1" x="2885"/>
        <item m="1" x="3989"/>
        <item x="400"/>
        <item m="1" x="626"/>
        <item m="1" x="2652"/>
        <item m="1" x="3545"/>
        <item m="1" x="4752"/>
        <item m="1" x="641"/>
        <item m="1" x="4469"/>
        <item m="1" x="2792"/>
        <item m="1" x="1561"/>
        <item m="1" x="2802"/>
        <item x="374"/>
        <item m="1" x="2348"/>
        <item x="588"/>
        <item m="1" x="1721"/>
        <item m="1" x="3417"/>
        <item m="1" x="784"/>
        <item m="1" x="2215"/>
        <item m="1" x="3343"/>
        <item m="1" x="1920"/>
        <item m="1" x="2329"/>
        <item m="1" x="4114"/>
        <item m="1" x="1400"/>
        <item m="1" x="1001"/>
        <item m="1" x="4671"/>
        <item x="577"/>
        <item m="1" x="1060"/>
        <item m="1" x="4582"/>
        <item m="1" x="4610"/>
        <item x="75"/>
        <item x="190"/>
        <item m="1" x="2145"/>
        <item m="1" x="4688"/>
        <item m="1" x="3246"/>
        <item x="420"/>
        <item x="249"/>
        <item m="1" x="2138"/>
        <item m="1" x="4359"/>
        <item m="1" x="4017"/>
        <item m="1" x="2132"/>
        <item x="154"/>
        <item m="1" x="3053"/>
        <item m="1" x="4274"/>
        <item m="1" x="2382"/>
        <item m="1" x="928"/>
        <item m="1" x="1717"/>
        <item m="1" x="1300"/>
        <item m="1" x="732"/>
        <item m="1" x="3305"/>
        <item m="1" x="2769"/>
        <item m="1" x="2472"/>
        <item x="224"/>
        <item m="1" x="2640"/>
        <item m="1" x="4029"/>
        <item m="1" x="1934"/>
        <item m="1" x="1565"/>
        <item m="1" x="2873"/>
        <item m="1" x="1955"/>
        <item m="1" x="4754"/>
        <item m="1" x="2839"/>
        <item m="1" x="2137"/>
        <item x="443"/>
        <item m="1" x="3225"/>
        <item m="1" x="3289"/>
        <item m="1" x="3804"/>
        <item m="1" x="3227"/>
        <item m="1" x="1124"/>
        <item m="1" x="2512"/>
        <item m="1" x="3124"/>
        <item m="1" x="3243"/>
        <item m="1" x="921"/>
        <item m="1" x="3945"/>
        <item m="1" x="4335"/>
        <item m="1" x="3010"/>
        <item m="1" x="3065"/>
        <item m="1" x="3340"/>
        <item m="1" x="627"/>
        <item m="1" x="4672"/>
        <item m="1" x="2592"/>
        <item m="1" x="3938"/>
        <item m="1" x="2947"/>
        <item x="106"/>
        <item m="1" x="4137"/>
        <item m="1" x="674"/>
        <item m="1" x="1239"/>
        <item m="1" x="4595"/>
        <item m="1" x="3939"/>
        <item m="1" x="2419"/>
        <item m="1" x="4235"/>
        <item m="1" x="3533"/>
        <item m="1" x="3160"/>
        <item m="1" x="4027"/>
        <item m="1" x="3441"/>
        <item m="1" x="2389"/>
        <item m="1" x="2197"/>
        <item m="1" x="1892"/>
        <item m="1" x="2601"/>
        <item m="1" x="2837"/>
        <item m="1" x="2893"/>
        <item m="1" x="4100"/>
        <item m="1" x="1340"/>
        <item m="1" x="1635"/>
        <item m="1" x="1079"/>
        <item m="1" x="1323"/>
        <item m="1" x="1698"/>
        <item m="1" x="3111"/>
        <item m="1" x="2723"/>
        <item m="1" x="1628"/>
        <item m="1" x="3543"/>
        <item x="174"/>
        <item m="1" x="1070"/>
        <item m="1" x="3873"/>
        <item m="1" x="4377"/>
        <item m="1" x="4059"/>
        <item x="5"/>
        <item m="1" x="700"/>
        <item m="1" x="2843"/>
        <item m="1" x="1928"/>
        <item m="1" x="2513"/>
        <item m="1" x="4792"/>
        <item m="1" x="1347"/>
        <item m="1" x="2277"/>
        <item m="1" x="2035"/>
        <item x="144"/>
        <item m="1" x="3846"/>
        <item m="1" x="2575"/>
        <item m="1" x="4182"/>
        <item m="1" x="1387"/>
        <item x="91"/>
        <item m="1" x="2610"/>
        <item m="1" x="4341"/>
        <item m="1" x="2026"/>
        <item m="1" x="4169"/>
        <item m="1" x="688"/>
        <item m="1" x="2179"/>
        <item m="1" x="3854"/>
        <item m="1" x="2325"/>
        <item m="1" x="3702"/>
        <item m="1" x="3607"/>
        <item m="1" x="908"/>
        <item m="1" x="4685"/>
        <item m="1" x="2968"/>
        <item m="1" x="1780"/>
        <item m="1" x="2553"/>
        <item m="1" x="4764"/>
        <item m="1" x="2459"/>
        <item m="1" x="4339"/>
        <item x="433"/>
        <item m="1" x="1965"/>
        <item m="1" x="603"/>
        <item m="1" x="4666"/>
        <item m="1" x="4663"/>
        <item m="1" x="848"/>
        <item m="1" x="1235"/>
        <item m="1" x="3450"/>
        <item m="1" x="3594"/>
        <item x="349"/>
        <item m="1" x="2267"/>
        <item m="1" x="4813"/>
        <item m="1" x="3810"/>
        <item m="1" x="1160"/>
        <item m="1" x="3296"/>
        <item m="1" x="2103"/>
        <item m="1" x="1972"/>
        <item m="1" x="4001"/>
        <item x="2"/>
        <item x="505"/>
        <item x="132"/>
        <item m="1" x="4046"/>
        <item x="131"/>
        <item m="1" x="1442"/>
        <item m="1" x="2811"/>
        <item m="1" x="1233"/>
        <item m="1" x="1902"/>
        <item m="1" x="2025"/>
        <item m="1" x="902"/>
        <item m="1" x="4138"/>
        <item m="1" x="4941"/>
        <item m="1" x="3185"/>
        <item m="1" x="4781"/>
        <item m="1" x="1034"/>
        <item m="1" x="2251"/>
        <item m="1" x="3381"/>
        <item m="1" x="3734"/>
        <item m="1" x="1116"/>
        <item m="1" x="3651"/>
        <item m="1" x="4756"/>
        <item m="1" x="1295"/>
        <item m="1" x="2111"/>
        <item m="1" x="2439"/>
        <item m="1" x="870"/>
        <item m="1" x="816"/>
        <item m="1" x="3632"/>
        <item x="461"/>
        <item m="1" x="922"/>
        <item m="1" x="2602"/>
        <item m="1" x="2057"/>
        <item m="1" x="1017"/>
        <item m="1" x="3742"/>
        <item x="327"/>
        <item m="1" x="866"/>
        <item m="1" x="1081"/>
        <item m="1" x="960"/>
        <item m="1" x="2499"/>
        <item m="1" x="3539"/>
        <item m="1" x="4269"/>
        <item m="1" x="3895"/>
        <item m="1" x="3565"/>
        <item x="277"/>
        <item m="1" x="1663"/>
        <item m="1" x="3693"/>
        <item m="1" x="3354"/>
        <item m="1" x="2993"/>
        <item m="1" x="936"/>
        <item m="1" x="1018"/>
        <item m="1" x="3091"/>
        <item m="1" x="1477"/>
        <item m="1" x="2616"/>
        <item m="1" x="4096"/>
        <item m="1" x="4109"/>
        <item m="1" x="2079"/>
        <item m="1" x="2827"/>
        <item x="129"/>
        <item m="1" x="605"/>
        <item m="1" x="2745"/>
        <item x="61"/>
        <item m="1" x="984"/>
        <item m="1" x="4824"/>
        <item m="1" x="3058"/>
        <item m="1" x="692"/>
        <item x="251"/>
        <item m="1" x="2860"/>
        <item m="1" x="990"/>
        <item x="111"/>
        <item m="1" x="3151"/>
        <item m="1" x="2565"/>
        <item m="1" x="616"/>
        <item m="1" x="2773"/>
        <item m="1" x="755"/>
        <item m="1" x="2167"/>
        <item m="1" x="3078"/>
        <item m="1" x="1333"/>
        <item m="1" x="1570"/>
        <item m="1" x="1469"/>
        <item x="88"/>
        <item m="1" x="3063"/>
        <item x="206"/>
        <item m="1" x="4085"/>
        <item m="1" x="3975"/>
        <item x="65"/>
        <item m="1" x="4897"/>
        <item m="1" x="4183"/>
        <item m="1" x="4896"/>
        <item m="1" x="3027"/>
        <item m="1" x="4328"/>
        <item m="1" x="4784"/>
        <item m="1" x="4019"/>
        <item m="1" x="4761"/>
        <item m="1" x="2732"/>
        <item m="1" x="3147"/>
        <item m="1" x="4438"/>
        <item m="1" x="3148"/>
        <item m="1" x="4914"/>
        <item m="1" x="3292"/>
        <item m="1" x="3505"/>
        <item x="429"/>
        <item m="1" x="4378"/>
        <item m="1" x="2830"/>
        <item m="1" x="3767"/>
        <item m="1" x="855"/>
        <item m="1" x="1898"/>
        <item m="1" x="2545"/>
        <item m="1" x="3684"/>
        <item m="1" x="4957"/>
        <item m="1" x="2268"/>
        <item m="1" x="1150"/>
        <item m="1" x="4063"/>
        <item m="1" x="2796"/>
        <item x="438"/>
        <item m="1" x="4654"/>
        <item m="1" x="2301"/>
        <item m="1" x="3648"/>
        <item m="1" x="909"/>
        <item m="1" x="3950"/>
        <item m="1" x="3422"/>
        <item x="237"/>
        <item m="1" x="1390"/>
        <item m="1" x="3218"/>
        <item m="1" x="4091"/>
        <item m="1" x="1174"/>
        <item x="321"/>
        <item m="1" x="1000"/>
        <item x="593"/>
        <item m="1" x="3324"/>
        <item m="1" x="2176"/>
        <item m="1" x="2273"/>
        <item m="1" x="793"/>
        <item m="1" x="2022"/>
        <item m="1" x="1590"/>
        <item m="1" x="4817"/>
        <item m="1" x="772"/>
        <item m="1" x="2535"/>
        <item m="1" x="3655"/>
        <item m="1" x="754"/>
        <item x="228"/>
        <item m="1" x="3879"/>
        <item m="1" x="636"/>
        <item m="1" x="3365"/>
        <item m="1" x="2151"/>
        <item m="1" x="3409"/>
        <item m="1" x="1951"/>
        <item m="1" x="4389"/>
        <item m="1" x="3701"/>
        <item m="1" x="3137"/>
        <item m="1" x="2200"/>
        <item m="1" x="3904"/>
        <item m="1" x="4277"/>
        <item m="1" x="1431"/>
        <item m="1" x="951"/>
        <item m="1" x="2457"/>
        <item m="1" x="2805"/>
        <item m="1" x="4943"/>
        <item x="107"/>
        <item m="1" x="2052"/>
        <item m="1" x="3106"/>
        <item m="1" x="3816"/>
        <item m="1" x="659"/>
        <item m="1" x="3326"/>
        <item m="1" x="4833"/>
        <item m="1" x="2343"/>
        <item m="1" x="3350"/>
        <item m="1" x="2977"/>
        <item m="1" x="2344"/>
        <item m="1" x="4391"/>
        <item m="1" x="2687"/>
        <item m="1" x="1131"/>
        <item m="1" x="2626"/>
        <item m="1" x="1171"/>
        <item x="314"/>
        <item m="1" x="3420"/>
        <item m="1" x="4574"/>
        <item m="1" x="4839"/>
        <item m="1" x="4152"/>
        <item m="1" x="1277"/>
        <item m="1" x="4662"/>
        <item x="320"/>
        <item m="1" x="2427"/>
        <item m="1" x="4175"/>
        <item m="1" x="4520"/>
        <item m="1" x="2566"/>
        <item m="1" x="3072"/>
        <item x="441"/>
        <item m="1" x="3169"/>
        <item m="1" x="1368"/>
        <item x="162"/>
        <item m="1" x="4090"/>
        <item m="1" x="4397"/>
        <item m="1" x="4075"/>
        <item m="1" x="4340"/>
        <item m="1" x="3797"/>
        <item m="1" x="3204"/>
        <item m="1" x="2781"/>
        <item m="1" x="4849"/>
        <item m="1" x="4421"/>
        <item m="1" x="687"/>
        <item m="1" x="3620"/>
        <item m="1" x="3357"/>
        <item x="546"/>
        <item m="1" x="4071"/>
        <item x="80"/>
        <item m="1" x="3690"/>
        <item x="506"/>
        <item m="1" x="3964"/>
        <item m="1" x="1128"/>
        <item x="7"/>
        <item m="1" x="3980"/>
        <item m="1" x="4457"/>
        <item m="1" x="2916"/>
        <item m="1" x="4453"/>
        <item m="1" x="2400"/>
        <item m="1" x="1355"/>
        <item m="1" x="1926"/>
        <item m="1" x="2099"/>
        <item m="1" x="3946"/>
        <item m="1" x="4481"/>
        <item m="1" x="4667"/>
        <item m="1" x="4266"/>
        <item m="1" x="4802"/>
        <item m="1" x="1129"/>
        <item m="1" x="1636"/>
        <item m="1" x="2375"/>
        <item m="1" x="1686"/>
        <item m="1" x="3068"/>
        <item m="1" x="2213"/>
        <item m="1" x="4070"/>
        <item m="1" x="3519"/>
        <item m="1" x="3920"/>
        <item m="1" x="2465"/>
        <item m="1" x="2381"/>
        <item m="1" x="4538"/>
        <item m="1" x="3260"/>
        <item m="1" x="2473"/>
        <item m="1" x="1942"/>
        <item x="585"/>
        <item m="1" x="878"/>
        <item m="1" x="3319"/>
        <item x="22"/>
        <item m="1" x="3927"/>
        <item m="1" x="3224"/>
        <item m="1" x="4279"/>
        <item m="1" x="1538"/>
        <item m="1" x="3674"/>
        <item m="1" x="3740"/>
        <item m="1" x="1714"/>
        <item x="114"/>
        <item m="1" x="3570"/>
        <item m="1" x="4311"/>
        <item m="1" x="2475"/>
        <item m="1" x="1108"/>
        <item m="1" x="3156"/>
        <item x="73"/>
        <item m="1" x="4692"/>
        <item m="1" x="3669"/>
        <item m="1" x="4950"/>
        <item m="1" x="1213"/>
        <item m="1" x="1700"/>
        <item m="1" x="3673"/>
        <item m="1" x="4058"/>
        <item m="1" x="3891"/>
        <item m="1" x="4470"/>
        <item m="1" x="1655"/>
        <item m="1" x="2786"/>
        <item m="1" x="1554"/>
        <item m="1" x="4092"/>
        <item m="1" x="841"/>
        <item m="1" x="1784"/>
        <item x="389"/>
        <item m="1" x="4485"/>
        <item x="501"/>
        <item m="1" x="1837"/>
        <item x="410"/>
        <item m="1" x="1009"/>
        <item m="1" x="4765"/>
        <item x="301"/>
        <item m="1" x="4337"/>
        <item x="365"/>
        <item m="1" x="1937"/>
        <item m="1" x="3942"/>
        <item m="1" x="4312"/>
        <item m="1" x="1212"/>
        <item m="1" x="4860"/>
        <item m="1" x="2189"/>
        <item m="1" x="2557"/>
        <item x="382"/>
        <item m="1" x="4171"/>
        <item m="1" x="1767"/>
        <item m="1" x="2485"/>
        <item m="1" x="1578"/>
        <item m="1" x="3979"/>
        <item m="1" x="1853"/>
        <item m="1" x="1261"/>
        <item m="1" x="1091"/>
        <item m="1" x="4131"/>
        <item m="1" x="4586"/>
        <item m="1" x="3558"/>
        <item m="1" x="3019"/>
        <item m="1" x="1258"/>
        <item m="1" x="986"/>
        <item x="305"/>
        <item m="1" x="2607"/>
        <item m="1" x="1445"/>
        <item m="1" x="4448"/>
        <item m="1" x="856"/>
        <item m="1" x="4176"/>
        <item m="1" x="3830"/>
        <item m="1" x="3366"/>
        <item m="1" x="4267"/>
        <item m="1" x="1987"/>
        <item m="1" x="884"/>
        <item m="1" x="726"/>
        <item m="1" x="4320"/>
        <item m="1" x="4743"/>
        <item m="1" x="1877"/>
        <item m="1" x="1299"/>
        <item m="1" x="2740"/>
        <item m="1" x="1251"/>
        <item m="1" x="3529"/>
        <item m="1" x="2891"/>
        <item m="1" x="4566"/>
        <item m="1" x="2133"/>
        <item m="1" x="661"/>
        <item m="1" x="2292"/>
        <item m="1" x="3787"/>
        <item m="1" x="2984"/>
        <item m="1" x="3971"/>
        <item m="1" x="2061"/>
        <item m="1" x="1946"/>
        <item x="278"/>
        <item m="1" x="2793"/>
        <item m="1" x="3286"/>
        <item m="1" x="4064"/>
        <item m="1" x="4622"/>
        <item m="1" x="3026"/>
        <item x="318"/>
        <item m="1" x="1163"/>
        <item m="1" x="1286"/>
        <item m="1" x="3270"/>
        <item m="1" x="1316"/>
        <item m="1" x="2016"/>
        <item m="1" x="4386"/>
        <item m="1" x="4564"/>
        <item m="1" x="645"/>
        <item m="1" x="2942"/>
        <item m="1" x="2615"/>
        <item m="1" x="2523"/>
        <item m="1" x="3866"/>
        <item m="1" x="2182"/>
        <item m="1" x="4116"/>
        <item m="1" x="2303"/>
        <item m="1" x="2881"/>
        <item x="240"/>
        <item m="1" x="762"/>
        <item m="1" x="3355"/>
        <item m="1" x="4642"/>
        <item m="1" x="2398"/>
        <item m="1" x="4412"/>
        <item m="1" x="3781"/>
        <item m="1" x="3125"/>
        <item m="1" x="987"/>
        <item m="1" x="3369"/>
        <item m="1" x="2053"/>
        <item m="1" x="4942"/>
        <item m="1" x="2338"/>
        <item m="1" x="1096"/>
        <item m="1" x="3442"/>
        <item m="1" x="4863"/>
        <item m="1" x="3135"/>
        <item m="1" x="1791"/>
        <item m="1" x="4780"/>
        <item m="1" x="4013"/>
        <item x="193"/>
        <item m="1" x="3117"/>
        <item m="1" x="1956"/>
        <item m="1" x="3871"/>
        <item m="1" x="3494"/>
        <item m="1" x="4228"/>
        <item m="1" x="4722"/>
        <item m="1" x="3159"/>
        <item x="243"/>
        <item m="1" x="2703"/>
        <item m="1" x="3877"/>
        <item m="1" x="4760"/>
        <item m="1" x="3247"/>
        <item m="1" x="1246"/>
        <item x="163"/>
        <item m="1" x="3031"/>
        <item m="1" x="972"/>
        <item m="1" x="2679"/>
        <item m="1" x="3109"/>
        <item m="1" x="2118"/>
        <item m="1" x="1020"/>
        <item m="1" x="2753"/>
        <item m="1" x="4777"/>
        <item x="391"/>
        <item m="1" x="2908"/>
        <item m="1" x="2774"/>
        <item m="1" x="2569"/>
        <item m="1" x="4463"/>
        <item m="1" x="4477"/>
        <item m="1" x="2152"/>
        <item m="1" x="1243"/>
        <item m="1" x="2056"/>
        <item m="1" x="4086"/>
        <item x="379"/>
        <item m="1" x="2431"/>
        <item m="1" x="1966"/>
        <item m="1" x="2780"/>
        <item m="1" x="3267"/>
        <item m="1" x="4089"/>
        <item m="1" x="2934"/>
        <item m="1" x="3415"/>
        <item x="343"/>
        <item m="1" x="4264"/>
        <item m="1" x="1495"/>
        <item m="1" x="2909"/>
        <item m="1" x="3619"/>
        <item m="1" x="2206"/>
        <item m="1" x="3285"/>
        <item m="1" x="2794"/>
        <item m="1" x="1292"/>
        <item m="1" x="3379"/>
        <item m="1" x="3775"/>
        <item m="1" x="1683"/>
        <item m="1" x="3434"/>
        <item m="1" x="1158"/>
        <item x="561"/>
        <item m="1" x="2135"/>
        <item m="1" x="2736"/>
        <item m="1" x="1225"/>
        <item x="332"/>
        <item x="116"/>
        <item x="89"/>
        <item m="1" x="1437"/>
        <item x="574"/>
        <item m="1" x="2573"/>
        <item m="1" x="4709"/>
        <item m="1" x="1671"/>
        <item m="1" x="1986"/>
        <item m="1" x="652"/>
        <item x="466"/>
        <item m="1" x="1237"/>
        <item m="1" x="1275"/>
        <item m="1" x="1749"/>
        <item m="1" x="4259"/>
        <item x="294"/>
        <item x="418"/>
        <item m="1" x="1500"/>
        <item m="1" x="4978"/>
        <item m="1" x="3307"/>
        <item m="1" x="3044"/>
        <item m="1" x="1577"/>
        <item m="1" x="2074"/>
        <item m="1" x="3152"/>
        <item m="1" x="3676"/>
        <item m="1" x="2069"/>
        <item m="1" x="1371"/>
        <item m="1" x="3146"/>
        <item m="1" x="1310"/>
        <item m="1" x="910"/>
        <item m="1" x="1106"/>
        <item m="1" x="967"/>
        <item m="1" x="1357"/>
        <item m="1" x="2998"/>
        <item m="1" x="4850"/>
        <item m="1" x="1273"/>
        <item m="1" x="890"/>
        <item m="1" x="1465"/>
        <item m="1" x="2928"/>
        <item m="1" x="1285"/>
        <item m="1" x="3093"/>
        <item m="1" x="2196"/>
        <item m="1" x="2718"/>
        <item m="1" x="2062"/>
        <item x="295"/>
        <item m="1" x="3275"/>
        <item m="1" x="1215"/>
        <item m="1" x="3278"/>
        <item x="296"/>
        <item m="1" x="3857"/>
        <item m="1" x="1904"/>
        <item m="1" x="2458"/>
        <item m="1" x="4037"/>
        <item m="1" x="2080"/>
        <item m="1" x="4534"/>
        <item x="395"/>
        <item m="1" x="1831"/>
        <item m="1" x="1482"/>
        <item m="1" x="1930"/>
        <item m="1" x="2677"/>
        <item m="1" x="2930"/>
        <item m="1" x="3814"/>
        <item m="1" x="761"/>
        <item x="567"/>
        <item m="1" x="1503"/>
        <item m="1" x="3100"/>
        <item m="1" x="4528"/>
        <item m="1" x="3416"/>
        <item m="1" x="3374"/>
        <item m="1" x="4955"/>
        <item m="1" x="2104"/>
        <item m="1" x="644"/>
        <item m="1" x="1055"/>
        <item x="54"/>
        <item x="329"/>
        <item m="1" x="1031"/>
        <item m="1" x="4224"/>
        <item m="1" x="4174"/>
        <item m="1" x="3408"/>
        <item m="1" x="780"/>
        <item m="1" x="2823"/>
        <item m="1" x="3820"/>
        <item m="1" x="4707"/>
        <item m="1" x="4971"/>
        <item x="81"/>
        <item m="1" x="2115"/>
        <item m="1" x="3576"/>
        <item m="1" x="4651"/>
        <item x="191"/>
        <item m="1" x="3165"/>
        <item m="1" x="4304"/>
        <item m="1" x="778"/>
        <item x="573"/>
        <item m="1" x="945"/>
        <item m="1" x="1449"/>
        <item x="422"/>
        <item m="1" x="1025"/>
        <item m="1" x="3514"/>
        <item m="1" x="655"/>
        <item m="1" x="2190"/>
        <item x="98"/>
        <item m="1" x="1649"/>
        <item m="1" x="4326"/>
        <item m="1" x="3468"/>
        <item m="1" x="985"/>
        <item m="1" x="1342"/>
        <item m="1" x="4763"/>
        <item x="448"/>
        <item m="1" x="2576"/>
        <item m="1" x="4804"/>
        <item m="1" x="2970"/>
        <item m="1" x="1530"/>
        <item m="1" x="4271"/>
        <item m="1" x="2550"/>
        <item m="1" x="1644"/>
        <item m="1" x="3552"/>
        <item m="1" x="935"/>
        <item m="1" x="4307"/>
        <item m="1" x="2644"/>
        <item x="74"/>
        <item m="1" x="3008"/>
        <item m="1" x="2278"/>
        <item m="1" x="4482"/>
        <item m="1" x="2957"/>
        <item m="1" x="2374"/>
        <item m="1" x="3599"/>
        <item m="1" x="917"/>
        <item m="1" x="2604"/>
        <item m="1" x="2397"/>
        <item m="1" x="4547"/>
        <item m="1" x="608"/>
        <item x="393"/>
        <item m="1" x="3919"/>
        <item m="1" x="4369"/>
        <item x="299"/>
        <item m="1" x="1201"/>
        <item m="1" x="3680"/>
        <item x="178"/>
        <item m="1" x="2349"/>
        <item m="1" x="2001"/>
        <item m="1" x="4049"/>
        <item m="1" x="4467"/>
        <item m="1" x="3375"/>
        <item m="1" x="2795"/>
        <item m="1" x="1968"/>
        <item m="1" x="2409"/>
        <item m="1" x="1624"/>
        <item m="1" x="4815"/>
        <item m="1" x="3112"/>
        <item m="1" x="2589"/>
        <item m="1" x="1753"/>
        <item m="1" x="4119"/>
        <item x="353"/>
        <item m="1" x="2861"/>
        <item m="1" x="2708"/>
        <item m="1" x="1882"/>
        <item m="1" x="950"/>
        <item m="1" x="1269"/>
        <item m="1" x="2538"/>
        <item m="1" x="3522"/>
        <item m="1" x="3443"/>
        <item m="1" x="3298"/>
        <item m="1" x="2046"/>
        <item m="1" x="4074"/>
        <item x="547"/>
        <item m="1" x="2455"/>
        <item m="1" x="2654"/>
        <item x="571"/>
        <item m="1" x="3454"/>
        <item m="1" x="2689"/>
        <item m="1" x="1058"/>
        <item m="1" x="3184"/>
        <item m="1" x="683"/>
        <item m="1" x="2285"/>
        <item m="1" x="685"/>
        <item m="1" x="4190"/>
        <item m="1" x="3959"/>
        <item m="1" x="725"/>
        <item m="1" x="4592"/>
        <item m="1" x="4757"/>
        <item x="558"/>
        <item m="1" x="4755"/>
        <item x="209"/>
        <item m="1" x="2634"/>
        <item m="1" x="1110"/>
        <item m="1" x="1109"/>
        <item m="1" x="1739"/>
        <item m="1" x="4097"/>
        <item m="1" x="1475"/>
        <item m="1" x="2160"/>
        <item x="208"/>
        <item m="1" x="3126"/>
        <item m="1" x="1923"/>
        <item x="239"/>
        <item m="1" x="1010"/>
        <item m="1" x="2907"/>
        <item m="1" x="1074"/>
        <item m="1" x="913"/>
        <item m="1" x="2973"/>
        <item m="1" x="2961"/>
        <item m="1" x="2384"/>
        <item m="1" x="3429"/>
        <item m="1" x="3564"/>
        <item m="1" x="3773"/>
        <item m="1" x="2962"/>
        <item m="1" x="2395"/>
        <item m="1" x="606"/>
        <item m="1" x="3863"/>
        <item m="1" x="3566"/>
        <item m="1" x="2413"/>
        <item m="1" x="3706"/>
        <item m="1" x="2208"/>
        <item m="1" x="4144"/>
        <item m="1" x="1948"/>
        <item m="1" x="2394"/>
        <item m="1" x="3438"/>
        <item m="1" x="4882"/>
        <item m="1" x="3977"/>
        <item m="1" x="2468"/>
        <item m="1" x="3649"/>
        <item m="1" x="2946"/>
        <item m="1" x="3937"/>
        <item m="1" x="4475"/>
        <item m="1" x="3720"/>
        <item m="1" x="3672"/>
        <item m="1" x="3291"/>
        <item m="1" x="3371"/>
        <item m="1" x="2953"/>
        <item m="1" x="748"/>
        <item m="1" x="1585"/>
        <item x="274"/>
        <item m="1" x="3212"/>
        <item m="1" x="4509"/>
        <item m="1" x="3725"/>
        <item m="1" x="4972"/>
        <item m="1" x="2396"/>
        <item m="1" x="1765"/>
        <item x="127"/>
        <item m="1" x="4840"/>
        <item x="436"/>
        <item m="1" x="2876"/>
        <item m="1" x="3373"/>
        <item m="1" x="1794"/>
        <item m="1" x="623"/>
        <item m="1" x="1550"/>
        <item m="1" x="2944"/>
        <item x="157"/>
        <item m="1" x="2558"/>
        <item m="1" x="1523"/>
        <item m="1" x="1657"/>
        <item m="1" x="2169"/>
        <item m="1" x="2291"/>
        <item m="1" x="2047"/>
        <item m="1" x="882"/>
        <item m="1" x="4577"/>
        <item m="1" x="4324"/>
        <item m="1" x="927"/>
        <item m="1" x="2933"/>
        <item m="1" x="719"/>
        <item m="1" x="1195"/>
        <item m="1" x="2263"/>
        <item m="1" x="4167"/>
        <item m="1" x="620"/>
        <item m="1" x="4344"/>
        <item x="494"/>
        <item m="1" x="3731"/>
        <item m="1" x="2141"/>
        <item m="1" x="958"/>
        <item m="1" x="4864"/>
        <item m="1" x="3768"/>
        <item m="1" x="689"/>
        <item m="1" x="4012"/>
        <item m="1" x="2804"/>
        <item m="1" x="3074"/>
        <item x="133"/>
        <item m="1" x="4949"/>
        <item m="1" x="4442"/>
        <item m="1" x="4310"/>
        <item m="1" x="4400"/>
        <item m="1" x="3753"/>
        <item m="1" x="4300"/>
        <item m="1" x="925"/>
        <item m="1" x="2940"/>
        <item m="1" x="741"/>
        <item m="1" x="2894"/>
        <item m="1" x="4432"/>
        <item m="1" x="2542"/>
        <item m="1" x="1852"/>
        <item m="1" x="4268"/>
        <item m="1" x="3588"/>
        <item m="1" x="4699"/>
        <item m="1" x="4025"/>
        <item m="1" x="3616"/>
        <item m="1" x="1152"/>
        <item m="1" x="2696"/>
        <item m="1" x="1474"/>
        <item m="1" x="4103"/>
        <item m="1" x="1647"/>
        <item m="1" x="4607"/>
        <item m="1" x="2516"/>
        <item m="1" x="4693"/>
        <item m="1" x="4023"/>
        <item m="1" x="1254"/>
        <item m="1" x="3430"/>
        <item m="1" x="4865"/>
        <item m="1" x="3356"/>
        <item m="1" x="1185"/>
        <item m="1" x="2110"/>
        <item m="1" x="867"/>
        <item m="1" x="1812"/>
        <item m="1" x="3067"/>
        <item m="1" x="1888"/>
        <item m="1" x="3069"/>
        <item x="445"/>
        <item x="267"/>
        <item m="1" x="4579"/>
        <item x="219"/>
        <item m="1" x="1681"/>
        <item m="1" x="4488"/>
        <item m="1" x="1491"/>
        <item x="40"/>
        <item m="1" x="1159"/>
        <item m="1" x="995"/>
        <item m="1" x="2054"/>
        <item m="1" x="896"/>
        <item m="1" x="1014"/>
        <item m="1" x="1408"/>
        <item m="1" x="3683"/>
        <item m="1" x="2568"/>
        <item m="1" x="3123"/>
        <item m="1" x="3735"/>
        <item m="1" x="2388"/>
        <item x="216"/>
        <item m="1" x="4385"/>
        <item m="1" x="4294"/>
        <item m="1" x="2759"/>
        <item m="1" x="3017"/>
        <item m="1" x="1006"/>
        <item m="1" x="2955"/>
        <item m="1" x="1204"/>
        <item m="1" x="3633"/>
        <item x="145"/>
        <item x="95"/>
        <item m="1" x="1924"/>
        <item x="67"/>
        <item m="1" x="2741"/>
        <item m="1" x="932"/>
        <item m="1" x="3603"/>
        <item m="1" x="4348"/>
        <item m="1" x="1228"/>
        <item m="1" x="3447"/>
        <item m="1" x="1906"/>
        <item x="602"/>
        <item m="1" x="803"/>
        <item m="1" x="4788"/>
        <item m="1" x="1808"/>
        <item m="1" x="4970"/>
        <item m="1" x="2921"/>
        <item m="1" x="4545"/>
        <item m="1" x="3271"/>
        <item m="1" x="1050"/>
        <item m="1" x="3527"/>
        <item m="1" x="1750"/>
        <item m="1" x="885"/>
        <item m="1" x="1180"/>
        <item m="1" x="3841"/>
        <item m="1" x="3896"/>
        <item m="1" x="3642"/>
        <item m="1" x="4121"/>
        <item m="1" x="3790"/>
        <item m="1" x="4405"/>
        <item m="1" x="2114"/>
        <item m="1" x="4251"/>
        <item m="1" x="2878"/>
        <item x="373"/>
        <item m="1" x="3007"/>
        <item m="1" x="3515"/>
        <item m="1" x="3557"/>
        <item m="1" x="1252"/>
        <item m="1" x="2715"/>
        <item x="179"/>
        <item x="472"/>
        <item x="26"/>
        <item m="1" x="1595"/>
        <item m="1" x="3449"/>
        <item m="1" x="4843"/>
        <item m="1" x="4376"/>
        <item m="1" x="4679"/>
        <item m="1" x="1216"/>
        <item m="1" x="830"/>
        <item m="1" x="617"/>
        <item m="1" x="1311"/>
        <item m="1" x="2078"/>
        <item x="285"/>
        <item m="1" x="1513"/>
        <item m="1" x="923"/>
        <item m="1" x="1707"/>
        <item x="232"/>
        <item m="1" x="2163"/>
        <item m="1" x="1521"/>
        <item m="1" x="1650"/>
        <item m="1" x="4032"/>
        <item m="1" x="2875"/>
        <item x="491"/>
        <item m="1" x="4542"/>
        <item m="1" x="1402"/>
        <item m="1" x="4384"/>
        <item m="1" x="2594"/>
        <item m="1" x="1490"/>
        <item m="1" x="854"/>
        <item m="1" x="3842"/>
        <item m="1" x="3612"/>
        <item x="570"/>
        <item m="1" x="2922"/>
        <item m="1" x="2670"/>
        <item m="1" x="3182"/>
        <item m="1" x="3395"/>
        <item m="1" x="4559"/>
        <item m="1" x="4601"/>
        <item m="1" x="965"/>
        <item m="1" x="4848"/>
        <item m="1" x="799"/>
        <item m="1" x="3300"/>
        <item m="1" x="1613"/>
        <item m="1" x="1433"/>
        <item m="1" x="3353"/>
        <item m="1" x="4161"/>
        <item m="1" x="2923"/>
        <item m="1" x="3376"/>
        <item m="1" x="2454"/>
        <item m="1" x="4403"/>
        <item m="1" x="2332"/>
        <item m="1" x="3336"/>
        <item m="1" x="3707"/>
        <item m="1" x="1822"/>
        <item m="1" x="759"/>
        <item m="1" x="2506"/>
        <item m="1" x="3488"/>
        <item m="1" x="699"/>
        <item m="1" x="1122"/>
        <item m="1" x="1089"/>
        <item m="1" x="1981"/>
        <item m="1" x="2919"/>
        <item x="477"/>
        <item m="1" x="723"/>
        <item m="1" x="4014"/>
        <item m="1" x="2826"/>
        <item m="1" x="3361"/>
        <item m="1" x="1604"/>
        <item m="1" x="2559"/>
        <item m="1" x="4095"/>
        <item x="580"/>
        <item m="1" x="731"/>
        <item m="1" x="4959"/>
        <item m="1" x="2798"/>
        <item x="141"/>
        <item m="1" x="1746"/>
        <item m="1" x="4894"/>
        <item m="1" x="941"/>
        <item m="1" x="4262"/>
        <item m="1" x="3280"/>
        <item x="0"/>
        <item m="1" x="1105"/>
        <item m="1" x="4217"/>
        <item m="1" x="4425"/>
        <item m="1" x="843"/>
        <item x="1"/>
        <item m="1" x="4593"/>
        <item m="1" x="1032"/>
        <item m="1" x="1098"/>
        <item m="1" x="4814"/>
        <item m="1" x="2192"/>
        <item m="1" x="911"/>
        <item m="1" x="4900"/>
        <item m="1" x="3362"/>
        <item m="1" x="1035"/>
        <item m="1" x="997"/>
        <item m="1" x="1771"/>
        <item m="1" x="3584"/>
        <item m="1" x="4511"/>
        <item m="1" x="1461"/>
        <item m="1" x="3513"/>
        <item x="542"/>
        <item m="1" x="2442"/>
        <item m="1" x="4830"/>
        <item m="1" x="1541"/>
        <item m="1" x="2629"/>
        <item m="1" x="1606"/>
        <item x="41"/>
        <item m="1" x="2165"/>
        <item m="1" x="613"/>
        <item m="1" x="2129"/>
        <item m="1" x="1435"/>
        <item m="1" x="711"/>
        <item m="1" x="1977"/>
        <item m="1" x="1840"/>
        <item x="554"/>
        <item m="1" x="1762"/>
        <item x="222"/>
        <item m="1" x="2423"/>
        <item m="1" x="2032"/>
        <item m="1" x="817"/>
        <item m="1" x="1263"/>
        <item m="1" x="2849"/>
        <item m="1" x="1884"/>
        <item m="1" x="2307"/>
        <item m="1" x="3510"/>
        <item x="406"/>
        <item m="1" x="1155"/>
        <item m="1" x="3878"/>
        <item m="1" x="1305"/>
        <item m="1" x="3811"/>
        <item x="453"/>
        <item m="1" x="2883"/>
        <item m="1" x="4818"/>
        <item m="1" x="747"/>
        <item m="1" x="1569"/>
        <item m="1" x="1376"/>
        <item m="1" x="4440"/>
        <item x="235"/>
        <item m="1" x="3232"/>
        <item m="1" x="1518"/>
        <item m="1" x="721"/>
        <item m="1" x="714"/>
        <item m="1" x="2241"/>
        <item m="1" x="3153"/>
        <item x="384"/>
        <item m="1" x="3667"/>
        <item m="1" x="3699"/>
        <item m="1" x="2681"/>
        <item m="1" x="658"/>
        <item m="1" x="2246"/>
        <item m="1" x="4981"/>
        <item m="1" x="4166"/>
        <item m="1" x="4884"/>
        <item m="1" x="3784"/>
        <item m="1" x="3661"/>
        <item m="1" x="3203"/>
        <item m="1" x="1507"/>
        <item m="1" x="1205"/>
        <item m="1" x="953"/>
        <item m="1" x="1512"/>
        <item m="1" x="3325"/>
        <item m="1" x="1612"/>
        <item m="1" x="2505"/>
        <item m="1" x="1861"/>
        <item m="1" x="4004"/>
        <item x="90"/>
        <item m="1" x="1741"/>
        <item m="1" x="3917"/>
        <item m="1" x="3845"/>
        <item m="1" x="3229"/>
        <item m="1" x="868"/>
        <item x="265"/>
        <item x="333"/>
        <item m="1" x="1598"/>
        <item m="1" x="4209"/>
        <item m="1" x="3988"/>
        <item m="1" x="1716"/>
        <item m="1" x="934"/>
        <item m="1" x="3872"/>
        <item m="1" x="2177"/>
        <item x="579"/>
        <item x="247"/>
        <item m="1" x="2725"/>
        <item m="1" x="4471"/>
        <item m="1" x="4250"/>
        <item m="1" x="4380"/>
        <item x="104"/>
        <item m="1" x="1795"/>
        <item m="1" x="2148"/>
        <item m="1" x="3193"/>
        <item m="1" x="3465"/>
        <item m="1" x="1964"/>
        <item m="1" x="2350"/>
        <item m="1" x="1743"/>
        <item m="1" x="3043"/>
        <item m="1" x="4982"/>
        <item m="1" x="4658"/>
        <item m="1" x="1586"/>
        <item m="1" x="4227"/>
        <item m="1" x="1224"/>
        <item m="1" x="2496"/>
        <item m="1" x="3801"/>
        <item m="1" x="2831"/>
        <item m="1" x="3627"/>
        <item x="275"/>
        <item m="1" x="2698"/>
        <item m="1" x="3190"/>
        <item x="566"/>
        <item m="1" x="2517"/>
        <item m="1" x="1979"/>
        <item m="1" x="2320"/>
        <item m="1" x="2051"/>
        <item m="1" x="1113"/>
        <item m="1" x="937"/>
        <item m="1" x="2333"/>
        <item m="1" x="660"/>
        <item m="1" x="1499"/>
        <item m="1" x="1833"/>
        <item m="1" x="4820"/>
        <item m="1" x="4084"/>
        <item m="1" x="4204"/>
        <item m="1" x="3040"/>
        <item x="300"/>
        <item x="125"/>
        <item m="1" x="3596"/>
        <item m="1" x="2071"/>
        <item m="1" x="2068"/>
        <item m="1" x="2467"/>
        <item m="1" x="2986"/>
        <item m="1" x="2757"/>
        <item m="1" x="819"/>
        <item m="1" x="1264"/>
        <item x="357"/>
        <item m="1" x="1868"/>
        <item m="1" x="4931"/>
        <item m="1" x="4920"/>
        <item x="584"/>
        <item m="1" x="2507"/>
        <item m="1" x="619"/>
        <item m="1" x="673"/>
        <item m="1" x="2905"/>
        <item m="1" x="1041"/>
        <item m="1" x="853"/>
        <item m="1" x="2779"/>
        <item m="1" x="1670"/>
        <item m="1" x="3297"/>
        <item x="70"/>
        <item m="1" x="1379"/>
        <item m="1" x="3249"/>
        <item m="1" x="3723"/>
        <item m="1" x="2700"/>
        <item m="1" x="3554"/>
        <item m="1" x="1596"/>
        <item m="1" x="1745"/>
        <item m="1" x="1054"/>
        <item x="556"/>
        <item m="1" x="810"/>
        <item m="1" x="2220"/>
        <item m="1" x="4681"/>
        <item m="1" x="4415"/>
        <item x="405"/>
        <item m="1" x="4424"/>
        <item m="1" x="2228"/>
        <item x="309"/>
        <item m="1" x="3609"/>
        <item m="1" x="3692"/>
        <item x="87"/>
        <item m="1" x="2662"/>
        <item m="1" x="1712"/>
        <item m="1" x="3431"/>
        <item m="1" x="2252"/>
        <item m="1" x="3886"/>
        <item m="1" x="2556"/>
        <item m="1" x="3982"/>
        <item m="1" x="1944"/>
        <item m="1" x="1375"/>
        <item m="1" x="4507"/>
        <item m="1" x="3611"/>
        <item m="1" x="2127"/>
        <item m="1" x="1759"/>
        <item m="1" x="4776"/>
        <item x="552"/>
        <item x="36"/>
        <item x="149"/>
        <item m="1" x="3070"/>
        <item m="1" x="1789"/>
        <item m="1" x="3821"/>
        <item m="1" x="2451"/>
        <item x="315"/>
        <item m="1" x="4107"/>
        <item m="1" x="2674"/>
        <item x="543"/>
        <item x="504"/>
        <item m="1" x="3477"/>
        <item m="1" x="4746"/>
        <item m="1" x="883"/>
        <item m="1" x="975"/>
        <item m="1" x="4885"/>
        <item m="1" x="4423"/>
        <item m="1" x="892"/>
        <item m="1" x="2106"/>
        <item m="1" x="2354"/>
        <item m="1" x="3520"/>
        <item m="1" x="1498"/>
        <item m="1" x="4624"/>
        <item m="1" x="2509"/>
        <item m="1" x="3541"/>
        <item m="1" x="807"/>
        <item m="1" x="2547"/>
        <item m="1" x="2302"/>
        <item m="1" x="4297"/>
        <item m="1" x="1887"/>
        <item m="1" x="798"/>
        <item m="1" x="906"/>
        <item m="1" x="1544"/>
        <item m="1" x="2808"/>
        <item m="1" x="1648"/>
        <item x="581"/>
        <item x="601"/>
        <item m="1" x="1836"/>
        <item x="369"/>
        <item m="1" x="3223"/>
        <item m="1" x="2082"/>
        <item m="1" x="2975"/>
        <item m="1" x="1594"/>
        <item m="1" x="3315"/>
        <item x="262"/>
        <item x="288"/>
        <item m="1" x="2420"/>
        <item m="1" x="3567"/>
        <item m="1" x="3403"/>
        <item m="1" x="1576"/>
        <item m="1" x="2844"/>
        <item m="1" x="4173"/>
        <item m="1" x="1191"/>
        <item m="1" x="2164"/>
        <item m="1" x="4869"/>
        <item m="1" x="1048"/>
        <item m="1" x="1916"/>
        <item m="1" x="3048"/>
        <item m="1" x="4502"/>
        <item m="1" x="3817"/>
        <item m="1" x="4594"/>
        <item m="1" x="2008"/>
        <item m="1" x="2171"/>
        <item m="1" x="4357"/>
        <item m="1" x="1959"/>
        <item m="1" x="3265"/>
        <item m="1" x="862"/>
        <item m="1" x="4892"/>
        <item m="1" x="3045"/>
        <item m="1" x="1839"/>
        <item m="1" x="2210"/>
        <item m="1" x="4449"/>
        <item m="1" x="2925"/>
        <item m="1" x="4451"/>
        <item m="1" x="4986"/>
        <item m="1" x="3951"/>
        <item m="1" x="2168"/>
        <item m="1" x="1603"/>
        <item m="1" x="915"/>
        <item m="1" x="3295"/>
        <item m="1" x="3460"/>
        <item m="1" x="1227"/>
        <item m="1" x="1426"/>
        <item x="44"/>
        <item m="1" x="999"/>
        <item m="1" x="2871"/>
        <item m="1" x="2712"/>
        <item m="1" x="4196"/>
        <item m="1" x="4231"/>
        <item m="1" x="3433"/>
        <item x="37"/>
        <item m="1" x="4016"/>
        <item m="1" x="2385"/>
        <item m="1" x="3583"/>
        <item m="1" x="1301"/>
        <item m="1" x="3287"/>
        <item m="1" x="860"/>
        <item m="1" x="1997"/>
        <item m="1" x="740"/>
        <item m="1" x="4555"/>
        <item m="1" x="4888"/>
        <item m="1" x="2807"/>
        <item m="1" x="2304"/>
        <item m="1" x="4024"/>
        <item m="1" x="697"/>
        <item m="1" x="1454"/>
        <item m="1" x="1344"/>
        <item m="1" x="2895"/>
        <item m="1" x="3538"/>
        <item m="1" x="844"/>
        <item m="1" x="3658"/>
        <item m="1" x="4785"/>
        <item m="1" x="2790"/>
        <item m="1" x="825"/>
        <item m="1" x="851"/>
        <item m="1" x="4766"/>
        <item m="1" x="2563"/>
        <item m="1" x="2665"/>
        <item m="1" x="3458"/>
        <item m="1" x="3435"/>
        <item m="1" x="2070"/>
        <item m="1" x="3257"/>
        <item m="1" x="2624"/>
        <item x="537"/>
        <item x="344"/>
        <item x="147"/>
        <item m="1" x="1856"/>
        <item m="1" x="1779"/>
        <item m="1" x="2818"/>
        <item m="1" x="1248"/>
        <item m="1" x="805"/>
        <item m="1" x="698"/>
        <item m="1" x="3530"/>
        <item m="1" x="4081"/>
        <item m="1" x="3266"/>
        <item m="1" x="1208"/>
        <item x="535"/>
        <item m="1" x="4932"/>
        <item m="1" x="671"/>
        <item m="1" x="1506"/>
        <item m="1" x="3870"/>
        <item m="1" x="4550"/>
        <item m="1" x="765"/>
        <item x="244"/>
        <item m="1" x="1103"/>
        <item m="1" x="3363"/>
        <item m="1" x="2864"/>
        <item m="1" x="4407"/>
        <item m="1" x="4468"/>
        <item m="1" x="3457"/>
        <item m="1" x="4197"/>
        <item m="1" x="4750"/>
        <item m="1" x="3957"/>
        <item m="1" x="3113"/>
        <item m="1" x="2125"/>
        <item m="1" x="4974"/>
        <item m="1" x="4373"/>
        <item m="1" x="4270"/>
        <item m="1" x="4428"/>
        <item x="261"/>
        <item m="1" x="1757"/>
        <item m="1" x="3414"/>
        <item m="1" x="4000"/>
        <item m="1" x="4736"/>
        <item m="1" x="4371"/>
        <item m="1" x="4691"/>
        <item m="1" x="3936"/>
        <item m="1" x="4895"/>
        <item m="1" x="3809"/>
        <item m="1" x="2076"/>
        <item m="1" x="4419"/>
        <item m="1" x="3277"/>
        <item m="1" x="3304"/>
        <item m="1" x="2635"/>
        <item m="1" x="1076"/>
        <item m="1" x="677"/>
        <item m="1" x="2105"/>
        <item m="1" x="3608"/>
        <item m="1" x="2469"/>
        <item m="1" x="795"/>
        <item m="1" x="1151"/>
        <item m="1" x="1385"/>
        <item m="1" x="4077"/>
        <item m="1" x="1377"/>
        <item m="1" x="1190"/>
        <item m="1" x="1618"/>
        <item m="1" x="1481"/>
        <item m="1" x="1430"/>
        <item m="1" x="3909"/>
        <item m="1" x="4614"/>
        <item m="1" x="3394"/>
        <item x="217"/>
        <item x="335"/>
        <item m="1" x="4411"/>
        <item m="1" x="2762"/>
        <item m="1" x="4006"/>
        <item m="1" x="3782"/>
        <item m="1" x="3783"/>
        <item m="1" x="3423"/>
        <item m="1" x="1855"/>
        <item m="1" x="2024"/>
        <item m="1" x="4659"/>
        <item m="1" x="2990"/>
        <item x="270"/>
        <item m="1" x="4799"/>
        <item x="430"/>
        <item m="1" x="4493"/>
        <item m="1" x="607"/>
        <item m="1" x="800"/>
        <item m="1" x="2494"/>
        <item m="1" x="1693"/>
        <item m="1" x="1607"/>
        <item m="1" x="3776"/>
        <item m="1" x="1834"/>
        <item m="1" x="4035"/>
        <item m="1" x="4379"/>
        <item m="1" x="4633"/>
        <item m="1" x="2180"/>
        <item m="1" x="1178"/>
        <item m="1" x="3453"/>
        <item m="1" x="635"/>
        <item m="1" x="3962"/>
        <item m="1" x="1918"/>
        <item m="1" x="4156"/>
        <item m="1" x="1023"/>
        <item m="1" x="3840"/>
        <item m="1" x="1900"/>
        <item m="1" x="4094"/>
        <item m="1" x="3130"/>
        <item m="1" x="4552"/>
        <item m="1" x="3560"/>
        <item m="1" x="3748"/>
        <item x="109"/>
        <item m="1" x="4117"/>
        <item m="1" x="2150"/>
        <item m="1" x="2716"/>
        <item m="1" x="679"/>
        <item m="1" x="1605"/>
        <item m="1" x="4409"/>
        <item m="1" x="4334"/>
        <item m="1" x="2852"/>
        <item m="1" x="3923"/>
        <item m="1" x="2713"/>
        <item m="1" x="2340"/>
        <item m="1" x="4338"/>
        <item m="1" x="832"/>
        <item m="1" x="2564"/>
        <item x="412"/>
        <item m="1" x="1696"/>
        <item m="1" x="4255"/>
        <item m="1" x="3794"/>
        <item m="1" x="4460"/>
        <item m="1" x="768"/>
        <item m="1" x="3143"/>
        <item m="1" x="4720"/>
        <item m="1" x="1860"/>
        <item m="1" x="4713"/>
        <item m="1" x="2253"/>
        <item m="1" x="1325"/>
        <item m="1" x="4022"/>
        <item m="1" x="2359"/>
        <item m="1" x="3331"/>
        <item m="1" x="3256"/>
        <item m="1" x="4934"/>
        <item m="1" x="4514"/>
        <item m="1" x="3283"/>
        <item m="1" x="4112"/>
        <item m="1" x="4427"/>
        <item m="1" x="612"/>
        <item m="1" x="2763"/>
        <item m="1" x="4148"/>
        <item x="263"/>
        <item m="1" x="3216"/>
        <item m="1" x="1289"/>
        <item m="1" x="4127"/>
        <item m="1" x="4588"/>
        <item m="1" x="3943"/>
        <item m="1" x="4656"/>
        <item m="1" x="4965"/>
        <item m="1" x="3136"/>
        <item m="1" x="949"/>
        <item m="1" x="4165"/>
        <item m="1" x="3391"/>
        <item m="1" x="1694"/>
        <item m="1" x="4598"/>
        <item m="1" x="3167"/>
        <item m="1" x="1559"/>
        <item m="1" x="4599"/>
        <item m="1" x="4239"/>
        <item m="1" x="1296"/>
        <item x="354"/>
        <item x="103"/>
        <item m="1" x="4293"/>
        <item m="1" x="4530"/>
        <item m="1" x="3885"/>
        <item m="1" x="4873"/>
        <item m="1" x="4076"/>
        <item m="1" x="833"/>
        <item m="1" x="4795"/>
        <item m="1" x="3763"/>
        <item x="43"/>
        <item m="1" x="2598"/>
        <item m="1" x="1932"/>
        <item m="1" x="4289"/>
        <item m="1" x="2456"/>
        <item m="1" x="2065"/>
        <item m="1" x="3426"/>
        <item m="1" x="3610"/>
        <item m="1" x="2370"/>
        <item m="1" x="2149"/>
        <item m="1" x="4072"/>
        <item m="1" x="2214"/>
        <item m="1" x="1667"/>
        <item m="1" x="4200"/>
        <item m="1" x="3092"/>
        <item m="1" x="3088"/>
        <item m="1" x="2939"/>
        <item m="1" x="1933"/>
        <item m="1" x="1493"/>
        <item m="1" x="1706"/>
        <item m="1" x="4331"/>
        <item m="1" x="3402"/>
        <item m="1" x="2266"/>
        <item m="1" x="4296"/>
        <item m="1" x="2777"/>
        <item m="1" x="1393"/>
        <item m="1" x="4192"/>
        <item m="1" x="3715"/>
        <item x="308"/>
        <item m="1" x="3639"/>
        <item m="1" x="1963"/>
        <item m="1" x="3812"/>
        <item m="1" x="4414"/>
        <item m="1" x="1723"/>
        <item m="1" x="3139"/>
        <item m="1" x="2238"/>
        <item m="1" x="4683"/>
        <item m="1" x="4627"/>
        <item m="1" x="3571"/>
        <item m="1" x="2040"/>
        <item m="1" x="2072"/>
        <item m="1" x="1194"/>
        <item m="1" x="2959"/>
        <item m="1" x="4216"/>
        <item m="1" x="4966"/>
        <item m="1" x="3966"/>
        <item m="1" x="3901"/>
        <item m="1" x="2236"/>
        <item m="1" x="2281"/>
        <item m="1" x="3615"/>
        <item m="1" x="3497"/>
        <item m="1" x="3405"/>
        <item m="1" x="3060"/>
        <item m="1" x="2412"/>
        <item m="1" x="2963"/>
        <item m="1" x="4026"/>
        <item m="1" x="3359"/>
        <item m="1" x="1147"/>
        <item m="1" x="2561"/>
        <item x="586"/>
        <item m="1" x="4275"/>
        <item m="1" x="1471"/>
        <item m="1" x="1487"/>
        <item x="592"/>
        <item m="1" x="1303"/>
        <item m="1" x="3550"/>
        <item m="1" x="2313"/>
        <item m="1" x="1472"/>
        <item m="1" x="1673"/>
        <item m="1" x="1209"/>
        <item m="1" x="2579"/>
        <item m="1" x="1327"/>
        <item m="1" x="2331"/>
        <item m="1" x="1308"/>
        <item m="1" x="4964"/>
        <item m="1" x="4290"/>
        <item m="1" x="4767"/>
        <item m="1" x="744"/>
        <item m="1" x="2675"/>
        <item m="1" x="4444"/>
        <item m="1" x="2284"/>
        <item m="1" x="4926"/>
        <item m="1" x="3238"/>
        <item m="1" x="1063"/>
        <item m="1" x="4927"/>
        <item x="165"/>
        <item m="1" x="4218"/>
        <item m="1" x="4219"/>
        <item m="1" x="3983"/>
        <item m="1" x="4744"/>
        <item m="1" x="2667"/>
        <item m="1" x="1849"/>
        <item m="1" x="1003"/>
        <item x="503"/>
        <item m="1" x="791"/>
        <item m="1" x="4822"/>
        <item m="1" x="2435"/>
        <item m="1" x="2820"/>
        <item m="1" x="4628"/>
        <item m="1" x="4466"/>
        <item m="1" x="4394"/>
        <item m="1" x="4122"/>
        <item m="1" x="4677"/>
        <item m="1" x="4513"/>
        <item m="1" x="1841"/>
        <item m="1" x="4352"/>
        <item m="1" x="4675"/>
        <item m="1" x="750"/>
        <item m="1" x="1734"/>
        <item m="1" x="2717"/>
        <item m="1" x="779"/>
        <item m="1" x="857"/>
        <item m="1" x="1642"/>
        <item m="1" x="2526"/>
        <item m="1" x="3351"/>
        <item m="1" x="1391"/>
        <item m="1" x="3991"/>
        <item m="1" x="4836"/>
        <item m="1" x="4430"/>
        <item m="1" x="3546"/>
        <item m="1" x="2527"/>
        <item m="1" x="907"/>
        <item x="541"/>
        <item m="1" x="2361"/>
        <item m="1" x="2866"/>
        <item m="1" x="743"/>
        <item m="1" x="1814"/>
        <item m="1" x="4009"/>
        <item m="1" x="3691"/>
        <item m="1" x="1220"/>
        <item m="1" x="4854"/>
        <item m="1" x="3905"/>
        <item m="1" x="4789"/>
        <item m="1" x="3221"/>
        <item m="1" x="2870"/>
        <item m="1" x="3360"/>
        <item m="1" x="1778"/>
        <item m="1" x="2995"/>
        <item m="1" x="4057"/>
        <item x="432"/>
        <item m="1" x="1600"/>
        <item m="1" x="4136"/>
        <item m="1" x="1404"/>
        <item x="92"/>
        <item m="1" x="4489"/>
        <item m="1" x="2530"/>
        <item m="1" x="1653"/>
        <item m="1" x="638"/>
        <item m="1" x="3479"/>
        <item m="1" x="2637"/>
        <item m="1" x="823"/>
        <item x="455"/>
        <item m="1" x="2941"/>
        <item m="1" x="1259"/>
        <item m="1" x="1090"/>
        <item m="1" x="4580"/>
        <item m="1" x="4859"/>
        <item m="1" x="824"/>
        <item m="1" x="1615"/>
        <item m="1" x="3944"/>
        <item x="19"/>
        <item x="161"/>
        <item m="1" x="4543"/>
        <item m="1" x="3188"/>
        <item m="1" x="3662"/>
        <item m="1" x="1602"/>
        <item x="578"/>
        <item x="134"/>
        <item m="1" x="745"/>
        <item x="419"/>
        <item m="1" x="2755"/>
        <item m="1" x="1832"/>
        <item m="1" x="2751"/>
        <item m="1" x="4639"/>
        <item m="1" x="1978"/>
        <item m="1" x="1724"/>
        <item m="1" x="3914"/>
        <item x="524"/>
        <item m="1" x="3132"/>
        <item x="160"/>
        <item m="1" x="1842"/>
        <item m="1" x="3500"/>
        <item x="326"/>
        <item m="1" x="837"/>
        <item x="186"/>
        <item m="1" x="3907"/>
        <item m="1" x="1464"/>
        <item m="1" x="3001"/>
        <item m="1" x="1819"/>
        <item m="1" x="926"/>
        <item x="253"/>
        <item m="1" x="2489"/>
        <item m="1" x="1326"/>
        <item m="1" x="4410"/>
        <item m="1" x="4247"/>
        <item m="1" x="3696"/>
        <item m="1" x="709"/>
        <item x="478"/>
        <item x="530"/>
        <item m="1" x="2964"/>
        <item m="1" x="3836"/>
        <item m="1" x="1353"/>
        <item m="1" x="3824"/>
        <item m="1" x="3624"/>
        <item m="1" x="3561"/>
        <item m="1" x="2948"/>
        <item x="276"/>
        <item m="1" x="4741"/>
        <item x="196"/>
        <item m="1" x="3933"/>
        <item m="1" x="2257"/>
        <item m="1" x="2999"/>
        <item m="1" x="3635"/>
        <item x="3"/>
        <item m="1" x="1555"/>
        <item x="388"/>
        <item m="1" x="2495"/>
        <item m="1" x="3082"/>
        <item m="1" x="3101"/>
        <item m="1" x="2605"/>
        <item m="1" x="3898"/>
        <item m="1" x="3986"/>
        <item m="1" x="4191"/>
        <item m="1" x="2181"/>
        <item m="1" x="4629"/>
        <item m="1" x="1552"/>
        <item m="1" x="2239"/>
        <item m="1" x="3181"/>
        <item m="1" x="4922"/>
        <item m="1" x="1173"/>
        <item m="1" x="3579"/>
        <item m="1" x="4532"/>
        <item m="1" x="4287"/>
        <item m="1" x="3466"/>
        <item m="1" x="4111"/>
        <item m="1" x="1939"/>
        <item m="1" x="3922"/>
        <item m="1" x="1438"/>
        <item x="407"/>
        <item m="1" x="4045"/>
        <item m="1" x="704"/>
        <item m="1" x="1154"/>
        <item x="544"/>
        <item m="1" x="3154"/>
        <item m="1" x="1024"/>
        <item m="1" x="1531"/>
        <item m="1" x="1280"/>
        <item m="1" x="3888"/>
        <item m="1" x="1980"/>
        <item m="1" x="4225"/>
        <item m="1" x="4031"/>
        <item m="1" x="1169"/>
        <item m="1" x="4708"/>
        <item x="500"/>
        <item m="1" x="1727"/>
        <item x="101"/>
        <item x="16"/>
        <item m="1" x="2874"/>
        <item m="1" x="2259"/>
        <item m="1" x="1101"/>
        <item m="1" x="1381"/>
        <item m="1" x="2529"/>
        <item x="213"/>
        <item m="1" x="2352"/>
        <item m="1" x="2126"/>
        <item m="1" x="2892"/>
        <item m="1" x="2324"/>
        <item m="1" x="822"/>
        <item m="1" x="1135"/>
        <item m="1" x="3140"/>
        <item x="557"/>
        <item m="1" x="4020"/>
        <item m="1" x="3378"/>
        <item m="1" x="1145"/>
        <item m="1" x="1988"/>
        <item m="1" x="1219"/>
        <item m="1" x="3486"/>
        <item x="334"/>
        <item m="1" x="2742"/>
        <item m="1" x="1022"/>
        <item x="531"/>
        <item m="1" x="4082"/>
        <item m="1" x="3467"/>
        <item m="1" x="3095"/>
        <item m="1" x="1807"/>
        <item m="1" x="3932"/>
        <item m="1" x="1558"/>
        <item m="1" x="3217"/>
        <item m="1" x="4336"/>
        <item m="1" x="1913"/>
        <item m="1" x="1206"/>
        <item m="1" x="3372"/>
        <item x="33"/>
        <item m="1" x="3756"/>
        <item m="1" x="3310"/>
        <item m="1" x="2997"/>
        <item m="1" x="4837"/>
        <item m="1" x="2525"/>
        <item x="519"/>
        <item m="1" x="4604"/>
        <item m="1" x="2232"/>
        <item m="1" x="1111"/>
        <item m="1" x="4871"/>
        <item m="1" x="4590"/>
        <item m="1" x="4727"/>
        <item m="1" x="4401"/>
        <item m="1" x="4199"/>
        <item m="1" x="3853"/>
        <item m="1" x="4342"/>
        <item m="1" x="1949"/>
        <item m="1" x="1682"/>
        <item m="1" x="1456"/>
        <item m="1" x="3778"/>
        <item m="1" x="3200"/>
        <item m="1" x="3120"/>
        <item m="1" x="903"/>
        <item m="1" x="1302"/>
        <item m="1" x="3501"/>
        <item x="117"/>
        <item x="85"/>
        <item x="508"/>
        <item m="1" x="2956"/>
        <item m="1" x="2932"/>
        <item m="1" x="1162"/>
        <item m="1" x="2131"/>
        <item m="1" x="3410"/>
        <item m="1" x="3713"/>
        <item m="1" x="3758"/>
        <item m="1" x="1157"/>
        <item m="1" x="2227"/>
        <item m="1" x="2857"/>
        <item m="1" x="1097"/>
        <item m="1" x="4134"/>
        <item m="1" x="3413"/>
        <item m="1" x="1838"/>
        <item m="1" x="2335"/>
        <item m="1" x="3573"/>
        <item x="139"/>
        <item m="1" x="1522"/>
        <item m="1" x="2124"/>
        <item m="1" x="3099"/>
        <item m="1" x="2298"/>
        <item m="1" x="2279"/>
        <item m="1" x="4684"/>
        <item m="1" x="4387"/>
        <item m="1" x="1890"/>
        <item x="28"/>
        <item m="1" x="3061"/>
        <item m="1" x="4589"/>
        <item m="1" x="4458"/>
        <item m="1" x="2821"/>
        <item m="1" x="920"/>
        <item m="1" x="2049"/>
        <item x="297"/>
        <item x="364"/>
        <item m="1" x="1394"/>
        <item m="1" x="858"/>
        <item m="1" x="3912"/>
        <item m="1" x="4128"/>
        <item m="1" x="2433"/>
        <item x="358"/>
        <item x="368"/>
        <item m="1" x="4951"/>
        <item m="1" x="3037"/>
        <item m="1" x="3274"/>
        <item m="1" x="2086"/>
        <item m="1" x="3637"/>
        <item m="1" x="1668"/>
        <item m="1" x="1329"/>
        <item x="281"/>
        <item x="337"/>
        <item m="1" x="2085"/>
        <item m="1" x="649"/>
        <item m="1" x="1319"/>
        <item m="1" x="1914"/>
        <item m="1" x="1551"/>
        <item m="1" x="1525"/>
        <item m="1" x="2258"/>
        <item m="1" x="3262"/>
        <item m="1" x="3197"/>
        <item x="521"/>
        <item m="1" x="3679"/>
        <item m="1" x="4053"/>
        <item x="282"/>
        <item m="1" x="1583"/>
        <item m="1" x="4961"/>
        <item m="1" x="4120"/>
        <item m="1" x="3900"/>
        <item m="1" x="3856"/>
        <item m="1" x="1351"/>
        <item m="1" x="4816"/>
        <item m="1" x="2280"/>
        <item m="1" x="2622"/>
        <item m="1" x="4889"/>
        <item m="1" x="3349"/>
        <item m="1" x="3744"/>
        <item m="1" x="2688"/>
        <item m="1" x="4069"/>
        <item x="462"/>
        <item m="1" x="2036"/>
        <item m="1" x="3025"/>
        <item m="1" x="1422"/>
        <item m="1" x="1075"/>
        <item m="1" x="1950"/>
        <item m="1" x="2466"/>
        <item m="1" x="2704"/>
        <item m="1" x="2037"/>
        <item m="1" x="874"/>
        <item m="1" x="872"/>
        <item m="1" x="4003"/>
        <item m="1" x="2938"/>
        <item m="1" x="1687"/>
        <item m="1" x="2819"/>
        <item m="1" x="1592"/>
        <item m="1" x="2201"/>
        <item m="1" x="4455"/>
        <item m="1" x="1688"/>
        <item m="1" x="1293"/>
        <item m="1" x="3259"/>
        <item m="1" x="2699"/>
        <item m="1" x="4402"/>
        <item m="1" x="2534"/>
        <item m="1" x="2632"/>
        <item m="1" x="4282"/>
        <item m="1" x="1359"/>
        <item m="1" x="1409"/>
        <item m="1" x="1207"/>
        <item m="1" x="4101"/>
        <item m="1" x="3087"/>
        <item m="1" x="2767"/>
        <item m="1" x="2028"/>
        <item m="1" x="1516"/>
        <item x="252"/>
        <item m="1" x="4370"/>
        <item m="1" x="2497"/>
        <item m="1" x="1226"/>
        <item m="1" x="2155"/>
        <item m="1" x="2731"/>
        <item m="1" x="1217"/>
        <item x="204"/>
        <item m="1" x="2789"/>
        <item m="1" x="4060"/>
        <item m="1" x="3384"/>
        <item x="515"/>
        <item m="1" x="2900"/>
        <item m="1" x="686"/>
        <item m="1" x="3398"/>
        <item m="1" x="3890"/>
        <item m="1" x="2631"/>
        <item m="1" x="4587"/>
        <item m="1" x="1953"/>
        <item m="1" x="4856"/>
        <item x="450"/>
        <item m="1" x="3098"/>
        <item m="1" x="3585"/>
        <item x="437"/>
        <item m="1" x="4703"/>
        <item m="1" x="4668"/>
        <item m="1" x="887"/>
        <item m="1" x="2222"/>
        <item x="48"/>
        <item m="1" x="4893"/>
        <item m="1" x="2581"/>
        <item m="1" x="1459"/>
        <item m="1" x="4145"/>
        <item m="1" x="2286"/>
        <item m="1" x="3042"/>
        <item m="1" x="736"/>
        <item m="1" x="4230"/>
        <item m="1" x="2216"/>
        <item m="1" x="1125"/>
        <item m="1" x="3248"/>
        <item m="1" x="2337"/>
        <item m="1" x="3127"/>
        <item m="1" x="1407"/>
        <item m="1" x="3050"/>
        <item m="1" x="2851"/>
        <item m="1" x="4360"/>
        <item m="1" x="3631"/>
        <item m="1" x="4706"/>
        <item m="1" x="2288"/>
        <item m="1" x="2441"/>
        <item m="1" x="2319"/>
        <item x="241"/>
        <item x="126"/>
        <item m="1" x="4456"/>
        <item m="1" x="4649"/>
        <item m="1" x="4011"/>
        <item m="1" x="701"/>
        <item m="1" x="4647"/>
        <item m="1" x="2448"/>
        <item x="289"/>
        <item x="218"/>
        <item m="1" x="3850"/>
        <item m="1" x="1581"/>
        <item m="1" x="3344"/>
        <item m="1" x="615"/>
        <item m="1" x="3301"/>
        <item m="1" x="1922"/>
        <item m="1" x="4823"/>
        <item m="1" x="2048"/>
        <item m="1" x="842"/>
        <item m="1" x="2859"/>
        <item m="1" x="3574"/>
        <item m="1" x="3859"/>
        <item m="1" x="904"/>
        <item m="1" x="2372"/>
        <item m="1" x="1630"/>
        <item m="1" x="2393"/>
        <item m="1" x="2733"/>
        <item m="1" x="3524"/>
        <item m="1" x="1044"/>
        <item m="1" x="2030"/>
        <item m="1" x="1629"/>
        <item m="1" x="4073"/>
        <item m="1" x="4711"/>
        <item m="1" x="4229"/>
        <item m="1" x="2515"/>
        <item m="1" x="4891"/>
        <item m="1" x="2554"/>
        <item m="1" x="3036"/>
        <item m="1" x="3245"/>
        <item m="1" x="1466"/>
        <item m="1" x="4474"/>
        <item x="447"/>
        <item x="201"/>
        <item m="1" x="4263"/>
        <item m="1" x="4157"/>
        <item m="1" x="4151"/>
        <item m="1" x="2066"/>
        <item m="1" x="3131"/>
        <item m="1" x="3021"/>
        <item m="1" x="2490"/>
        <item x="221"/>
        <item m="1" x="2966"/>
        <item m="1" x="4940"/>
        <item m="1" x="4364"/>
        <item m="1" x="3451"/>
        <item m="1" x="2377"/>
        <item m="1" x="2034"/>
        <item m="1" x="1457"/>
        <item m="1" x="2262"/>
        <item m="1" x="4278"/>
        <item m="1" x="4768"/>
        <item m="1" x="2684"/>
        <item m="1" x="3997"/>
        <item m="1" x="1828"/>
        <item m="1" x="3321"/>
        <item m="1" x="4051"/>
        <item m="1" x="720"/>
        <item m="1" x="2707"/>
        <item m="1" x="2316"/>
        <item m="1" x="1012"/>
        <item m="1" x="2872"/>
        <item m="1" x="1697"/>
        <item x="258"/>
        <item m="1" x="2172"/>
        <item m="1" x="948"/>
        <item m="1" x="3107"/>
        <item m="1" x="2806"/>
        <item m="1" x="4939"/>
        <item x="346"/>
        <item m="1" x="611"/>
        <item m="1" x="4762"/>
        <item m="1" x="2737"/>
        <item m="1" x="1324"/>
        <item m="1" x="3439"/>
        <item x="397"/>
        <item m="1" x="4753"/>
        <item m="1" x="2842"/>
        <item m="1" x="3730"/>
        <item m="1" x="1016"/>
        <item m="1" x="3508"/>
        <item m="1" x="3094"/>
        <item x="330"/>
        <item m="1" x="2421"/>
        <item m="1" x="1909"/>
        <item m="1" x="1255"/>
        <item m="1" x="4665"/>
        <item m="1" x="2271"/>
        <item m="1" x="3940"/>
        <item m="1" x="2706"/>
        <item m="1" x="621"/>
        <item m="1" x="2972"/>
        <item m="1" x="2614"/>
        <item m="1" x="4452"/>
        <item m="1" x="3537"/>
        <item x="214"/>
        <item m="1" x="2760"/>
        <item m="1" x="4416"/>
        <item m="1" x="3149"/>
        <item m="1" x="4825"/>
        <item m="1" x="3770"/>
        <item x="172"/>
        <item m="1" x="4742"/>
        <item m="1" x="4952"/>
        <item m="1" x="2720"/>
        <item m="1" x="4695"/>
        <item m="1" x="4308"/>
        <item m="1" x="1245"/>
        <item m="1" x="1998"/>
        <item m="1" x="4305"/>
        <item m="1" x="2824"/>
        <item m="1" x="4404"/>
        <item x="454"/>
        <item m="1" x="4954"/>
        <item m="1" x="4606"/>
        <item m="1" x="4375"/>
        <item m="1" x="1639"/>
        <item m="1" x="4569"/>
        <item m="1" x="3399"/>
        <item m="1" x="4834"/>
        <item m="1" x="3663"/>
        <item m="1" x="3436"/>
        <item m="1" x="4393"/>
        <item m="1" x="1395"/>
        <item x="197"/>
        <item m="1" x="4660"/>
        <item m="1" x="947"/>
        <item m="1" x="4309"/>
        <item m="1" x="3064"/>
        <item m="1" x="1517"/>
        <item m="1" x="3652"/>
        <item m="1" x="1533"/>
        <item m="1" x="1549"/>
        <item m="1" x="1811"/>
        <item m="1" x="3868"/>
        <item m="1" x="1282"/>
        <item m="1" x="3317"/>
        <item m="1" x="4632"/>
        <item m="1" x="4967"/>
        <item m="1" x="2212"/>
        <item m="1" x="3738"/>
        <item m="1" x="3881"/>
        <item m="1" x="4749"/>
        <item m="1" x="3766"/>
        <item m="1" x="4616"/>
        <item m="1" x="2269"/>
        <item m="1" x="2649"/>
        <item m="1" x="4861"/>
        <item m="1" x="3345"/>
        <item x="14"/>
        <item m="1" x="4140"/>
        <item m="1" x="734"/>
        <item m="1" x="4181"/>
        <item m="1" x="3033"/>
        <item m="1" x="1863"/>
        <item x="183"/>
        <item m="1" x="4325"/>
        <item m="1" x="4434"/>
        <item m="1" x="1582"/>
        <item m="1" x="1059"/>
        <item m="1" x="2519"/>
        <item m="1" x="4523"/>
        <item m="1" x="2590"/>
        <item x="242"/>
        <item m="1" x="895"/>
        <item m="1" x="4350"/>
        <item m="1" x="1540"/>
        <item m="1" x="1903"/>
        <item x="362"/>
        <item m="1" x="4150"/>
        <item m="1" x="1731"/>
        <item m="1" x="1526"/>
        <item m="1" x="1468"/>
        <item m="1" x="3386"/>
        <item m="1" x="666"/>
        <item m="1" x="1885"/>
        <item m="1" x="2363"/>
        <item m="1" x="1574"/>
        <item m="1" x="1993"/>
        <item x="50"/>
        <item x="140"/>
        <item m="1" x="3464"/>
        <item m="1" x="1801"/>
        <item x="540"/>
        <item m="1" x="654"/>
        <item m="1" x="794"/>
        <item m="1" x="3786"/>
        <item m="1" x="929"/>
        <item m="1" x="622"/>
        <item m="1" x="4985"/>
        <item m="1" x="1825"/>
        <item m="1" x="4299"/>
        <item m="1" x="1198"/>
        <item m="1" x="2709"/>
        <item m="1" x="1897"/>
        <item m="1" x="2710"/>
        <item m="1" x="1674"/>
        <item m="1" x="2817"/>
        <item m="1" x="1265"/>
        <item m="1" x="1711"/>
        <item m="1" x="956"/>
        <item m="1" x="3427"/>
        <item m="1" x="1253"/>
        <item m="1" x="3142"/>
        <item m="1" x="1772"/>
        <item m="1" x="2613"/>
        <item m="1" x="1756"/>
        <item m="1" x="4646"/>
        <item m="1" x="4721"/>
        <item m="1" x="2404"/>
        <item m="1" x="2660"/>
        <item m="1" x="4786"/>
        <item m="1" x="3654"/>
        <item m="1" x="1790"/>
        <item x="46"/>
        <item m="1" x="4845"/>
        <item m="1" x="3760"/>
        <item m="1" x="4366"/>
        <item m="1" x="4906"/>
        <item m="1" x="4716"/>
        <item m="1" x="2620"/>
        <item m="1" x="3421"/>
        <item m="1" x="4554"/>
        <item m="1" x="2188"/>
        <item m="1" x="3309"/>
        <item m="1" x="3419"/>
        <item m="1" x="2695"/>
        <item m="1" x="2491"/>
        <item m="1" x="4244"/>
        <item x="399"/>
        <item x="489"/>
        <item m="1" x="3531"/>
        <item m="1" x="2195"/>
        <item m="1" x="1774"/>
        <item m="1" x="3653"/>
        <item m="1" x="2721"/>
        <item m="1" x="4099"/>
        <item m="1" x="1975"/>
        <item x="404"/>
        <item m="1" x="4383"/>
        <item m="1" x="1087"/>
        <item m="1" x="3342"/>
        <item m="1" x="774"/>
        <item m="1" x="4185"/>
        <item m="1" x="4396"/>
        <item x="545"/>
        <item m="1" x="4621"/>
        <item m="1" x="4793"/>
        <item m="1" x="1703"/>
        <item x="313"/>
        <item m="1" x="1896"/>
        <item m="1" x="1130"/>
        <item x="572"/>
        <item m="1" x="4737"/>
        <item m="1" x="653"/>
        <item m="1" x="4233"/>
        <item m="1" x="1037"/>
        <item m="1" x="2446"/>
        <item x="527"/>
        <item m="1" x="4413"/>
        <item m="1" x="2109"/>
        <item m="1" x="1033"/>
        <item m="1" x="4842"/>
        <item m="1" x="647"/>
        <item m="1" x="2221"/>
        <item m="1" x="2927"/>
        <item m="1" x="1428"/>
        <item m="1" x="4881"/>
        <item m="1" x="1787"/>
        <item m="1" x="2107"/>
        <item m="1" x="1314"/>
        <item x="9"/>
        <item m="1" x="2416"/>
        <item m="1" x="2994"/>
        <item m="1" x="3925"/>
        <item m="1" x="994"/>
        <item m="1" x="3547"/>
        <item x="211"/>
        <item m="1" x="924"/>
        <item m="1" x="3489"/>
        <item m="1" x="3121"/>
        <item m="1" x="4110"/>
        <item m="1" x="2739"/>
        <item m="1" x="2784"/>
        <item m="1" x="3984"/>
        <item m="1" x="2551"/>
        <item m="1" x="4643"/>
        <item m="1" x="4717"/>
        <item m="1" x="2018"/>
        <item m="1" x="3722"/>
        <item m="1" x="1571"/>
        <item m="1" x="1176"/>
        <item m="1" x="2083"/>
        <item m="1" x="1938"/>
        <item m="1" x="2260"/>
        <item m="1" x="1373"/>
        <item m="1" x="3745"/>
        <item m="1" x="2659"/>
        <item m="1" x="2294"/>
        <item m="1" x="3998"/>
        <item m="1" x="4613"/>
        <item x="158"/>
        <item x="10"/>
        <item m="1" x="3134"/>
        <item x="12"/>
        <item m="1" x="2134"/>
        <item m="1" x="2539"/>
        <item m="1" x="1121"/>
        <item m="1" x="2440"/>
        <item x="596"/>
        <item m="1" x="2666"/>
        <item m="1" x="656"/>
        <item m="1" x="2983"/>
        <item m="1" x="2289"/>
        <item m="1" x="3916"/>
        <item m="1" x="4575"/>
        <item m="1" x="2044"/>
        <item m="1" x="4211"/>
        <item m="1" x="3179"/>
        <item m="1" x="2992"/>
        <item m="1" x="1221"/>
        <item m="1" x="1680"/>
        <item m="1" x="3575"/>
        <item m="1" x="3563"/>
        <item m="1" x="4944"/>
        <item m="1" x="2593"/>
        <item m="1" x="788"/>
        <item x="159"/>
        <item x="225"/>
        <item m="1" x="3534"/>
        <item m="1" x="3114"/>
        <item x="223"/>
        <item m="1" x="880"/>
        <item m="1" x="715"/>
        <item m="1" x="4222"/>
        <item m="1" x="1211"/>
        <item m="1" x="1350"/>
        <item m="1" x="815"/>
        <item m="1" x="863"/>
        <item m="1" x="2272"/>
        <item m="1" x="2418"/>
        <item m="1" x="2250"/>
        <item m="1" x="3788"/>
        <item m="1" x="2424"/>
        <item m="1" x="2501"/>
        <item m="1" x="4205"/>
        <item m="1" x="1732"/>
        <item m="1" x="2636"/>
        <item m="1" x="2371"/>
        <item m="1" x="3463"/>
        <item m="1" x="4361"/>
        <item x="110"/>
        <item m="1" x="2204"/>
        <item m="1" x="665"/>
        <item m="1" x="1848"/>
        <item x="123"/>
        <item m="1" x="962"/>
        <item m="1" x="3377"/>
        <item m="1" x="2287"/>
        <item m="1" x="2621"/>
        <item m="1" x="3805"/>
        <item m="1" x="3837"/>
        <item m="1" x="2362"/>
        <item x="57"/>
        <item m="1" x="4570"/>
        <item m="1" x="4221"/>
        <item m="1" x="2096"/>
        <item m="1" x="1719"/>
        <item m="1" x="4908"/>
        <item m="1" x="3080"/>
        <item m="1" x="2571"/>
        <item m="1" x="3175"/>
        <item m="1" x="4846"/>
        <item m="1" x="2848"/>
        <item m="1" x="3621"/>
        <item m="1" x="1421"/>
        <item m="1" x="1880"/>
        <item m="1" x="1643"/>
        <item x="319"/>
        <item m="1" x="2233"/>
        <item m="1" x="1556"/>
        <item m="1" x="4141"/>
        <item m="1" x="3263"/>
        <item m="1" x="2183"/>
        <item m="1" x="3568"/>
        <item m="1" x="3960"/>
        <item m="1" x="3688"/>
        <item m="1" x="3240"/>
        <item m="1" x="1446"/>
        <item m="1" x="722"/>
        <item m="1" x="3887"/>
        <item m="1" x="1626"/>
        <item m="1" x="3239"/>
        <item m="1" x="2020"/>
        <item m="1" x="3751"/>
        <item m="1" x="4652"/>
        <item m="1" x="3503"/>
        <item m="1" x="2017"/>
        <item m="1" x="1830"/>
        <item m="1" x="2521"/>
        <item m="1" x="2484"/>
        <item m="1" x="662"/>
        <item m="1" x="1444"/>
        <item m="1" x="4540"/>
        <item m="1" x="1658"/>
        <item m="1" x="900"/>
        <item m="1" x="3625"/>
        <item m="1" x="4295"/>
        <item m="1" x="2091"/>
        <item m="1" x="4730"/>
        <item m="1" x="1826"/>
        <item x="185"/>
        <item m="1" x="3643"/>
        <item m="1" x="1406"/>
        <item m="1" x="1960"/>
        <item x="538"/>
        <item m="1" x="3918"/>
        <item m="1" x="2890"/>
        <item m="1" x="1281"/>
        <item m="1" x="3096"/>
        <item m="1" x="1666"/>
        <item m="1" x="4596"/>
        <item m="1" x="2991"/>
        <item m="1" x="1995"/>
        <item x="135"/>
        <item x="102"/>
        <item m="1" x="4323"/>
        <item m="1" x="3407"/>
        <item m="1" x="4806"/>
        <item m="1" x="3793"/>
        <item m="1" x="4236"/>
        <item m="1" x="2378"/>
        <item m="1" x="1429"/>
        <item m="1" x="1876"/>
        <item m="1" x="3605"/>
        <item m="1" x="3118"/>
        <item m="1" x="2470"/>
        <item m="1" x="2121"/>
        <item m="1" x="4125"/>
        <item m="1" x="1567"/>
        <item m="1" x="4901"/>
        <item m="1" x="4567"/>
        <item x="449"/>
        <item x="266"/>
        <item x="38"/>
        <item m="1" x="4921"/>
        <item m="1" x="2009"/>
        <item m="1" x="2578"/>
        <item m="1" x="3645"/>
        <item m="1" x="3038"/>
        <item m="1" x="1401"/>
        <item m="1" x="2462"/>
        <item m="1" x="4783"/>
        <item x="250"/>
        <item m="1" x="2618"/>
        <item m="1" x="4669"/>
        <item m="1" x="4417"/>
        <item m="1" x="2863"/>
        <item m="1" x="879"/>
        <item m="1" x="4479"/>
        <item x="122"/>
        <item m="1" x="4819"/>
        <item m="1" x="2166"/>
        <item m="1" x="2478"/>
        <item m="1" x="1701"/>
        <item m="1" x="831"/>
        <item m="1" x="4500"/>
        <item m="1" x="1011"/>
        <item x="425"/>
        <item m="1" x="690"/>
        <item x="264"/>
        <item x="124"/>
        <item m="1" x="2608"/>
        <item m="1" x="3826"/>
        <item m="1" x="2929"/>
        <item x="402"/>
        <item x="76"/>
        <item m="1" x="4916"/>
        <item x="255"/>
        <item m="1" x="3970"/>
        <item x="59"/>
        <item x="97"/>
        <item m="1" x="2768"/>
        <item m="1" x="1161"/>
        <item m="1" x="3370"/>
        <item m="1" x="2985"/>
        <item m="1" x="3141"/>
        <item x="496"/>
        <item m="1" x="2357"/>
        <item x="175"/>
        <item m="1" x="2549"/>
        <item m="1" x="1267"/>
        <item m="1" x="1679"/>
        <item m="1" x="2041"/>
        <item m="1" x="630"/>
        <item x="532"/>
        <item m="1" x="3929"/>
        <item m="1" x="1291"/>
        <item m="1" x="3393"/>
        <item m="1" x="3799"/>
        <item m="1" x="1257"/>
        <item m="1" x="3860"/>
        <item m="1" x="3670"/>
        <item m="1" x="2339"/>
        <item m="1" x="2460"/>
        <item m="1" x="2595"/>
        <item x="25"/>
        <item m="1" x="1193"/>
        <item x="452"/>
        <item m="1" x="1080"/>
        <item x="72"/>
        <item m="1" x="1005"/>
        <item m="1" x="1026"/>
        <item x="549"/>
        <item m="1" x="4529"/>
        <item m="1" x="3833"/>
        <item m="1" x="3157"/>
        <item m="1" x="2453"/>
        <item m="1" x="1452"/>
        <item m="1" x="3818"/>
        <item m="1" x="2761"/>
        <item x="202"/>
        <item m="1" x="1829"/>
        <item m="1" x="3364"/>
        <item m="1" x="4930"/>
        <item m="1" x="3387"/>
        <item m="1" x="2572"/>
        <item m="1" x="889"/>
        <item x="363"/>
        <item m="1" x="1562"/>
        <item x="4"/>
        <item m="1" x="2000"/>
        <item m="1" x="3493"/>
        <item m="1" x="3138"/>
        <item m="1" x="4637"/>
        <item m="1" x="1760"/>
        <item m="1" x="2705"/>
        <item m="1" x="1410"/>
        <item m="1" x="2366"/>
        <item m="1" x="4088"/>
        <item m="1" x="4374"/>
        <item m="1" x="1915"/>
        <item x="47"/>
        <item m="1" x="4333"/>
        <item m="1" x="2754"/>
        <item m="1" x="1821"/>
        <item m="1" x="1056"/>
        <item m="1" x="2813"/>
        <item x="564"/>
        <item m="1" x="707"/>
        <item m="1" x="1509"/>
        <item m="1" x="1768"/>
        <item m="1" x="4536"/>
        <item m="1" x="1738"/>
        <item m="1" x="1769"/>
        <item m="1" x="3034"/>
        <item m="1" x="4256"/>
        <item m="1" x="1363"/>
        <item m="1" x="1991"/>
        <item m="1" x="4623"/>
        <item m="1" x="2224"/>
        <item m="1" x="2449"/>
        <item m="1" x="4179"/>
        <item m="1" x="2500"/>
        <item m="1" x="2276"/>
        <item m="1" x="2282"/>
        <item m="1" x="4080"/>
        <item m="1" x="1770"/>
        <item x="409"/>
        <item m="1" x="3708"/>
        <item m="1" x="1405"/>
        <item m="1" x="4441"/>
        <item m="1" x="3195"/>
        <item m="1" x="4258"/>
        <item m="1" x="4740"/>
        <item m="1" x="3499"/>
        <item x="226"/>
        <item m="1" x="2812"/>
        <item x="323"/>
        <item m="1" x="2850"/>
        <item m="1" x="2617"/>
        <item m="1" x="2247"/>
        <item m="1" x="4686"/>
        <item m="1" x="2323"/>
        <item m="1" x="4154"/>
        <item m="1" x="1843"/>
        <item m="1" x="1040"/>
        <item m="1" x="3214"/>
        <item m="1" x="3299"/>
        <item m="1" x="4519"/>
        <item m="1" x="4841"/>
        <item m="1" x="3646"/>
        <item m="1" x="4168"/>
        <item m="1" x="1818"/>
        <item x="51"/>
        <item m="1" x="4508"/>
        <item m="1" x="3834"/>
        <item x="465"/>
        <item m="1" x="1907"/>
        <item x="194"/>
        <item m="1" x="1793"/>
        <item m="1" x="3206"/>
        <item m="1" x="1112"/>
        <item m="1" x="3581"/>
        <item m="1" x="2918"/>
        <item m="1" x="4050"/>
        <item m="1" x="4447"/>
        <item m="1" x="2365"/>
        <item m="1" x="1617"/>
        <item m="1" x="1467"/>
        <item m="1" x="2980"/>
        <item m="1" x="3634"/>
        <item m="1" x="1726"/>
        <item x="302"/>
        <item x="555"/>
        <item m="1" x="2011"/>
        <item x="121"/>
        <item m="1" x="3264"/>
        <item m="1" x="3155"/>
        <item m="1" x="1188"/>
        <item m="1" x="4126"/>
        <item x="338"/>
        <item m="1" x="4314"/>
        <item m="1" x="3956"/>
        <item x="473"/>
        <item x="100"/>
        <item x="380"/>
        <item m="1" x="2931"/>
        <item m="1" x="1413"/>
        <item m="1" x="4573"/>
        <item m="1" x="4066"/>
        <item m="1" x="1175"/>
        <item m="1" x="4464"/>
        <item m="1" x="2403"/>
        <item m="1" x="2255"/>
        <item m="1" x="1298"/>
        <item m="1" x="2119"/>
        <item m="1" x="1610"/>
        <item m="1" x="3698"/>
        <item m="1" x="4644"/>
        <item m="1" x="4935"/>
        <item m="1" x="3180"/>
        <item m="1" x="4321"/>
        <item m="1" x="2800"/>
        <item m="1" x="2174"/>
        <item m="1" x="989"/>
        <item m="1" x="4504"/>
        <item m="1" x="1899"/>
        <item m="1" x="4317"/>
        <item x="260"/>
        <item m="1" x="2023"/>
        <item m="1" x="3075"/>
        <item m="1" x="3210"/>
        <item m="1" x="3158"/>
        <item m="1" x="2425"/>
        <item m="1" x="1187"/>
        <item m="1" x="3502"/>
        <item m="1" x="1425"/>
        <item m="1" x="708"/>
        <item m="1" x="4388"/>
        <item m="1" x="1455"/>
        <item m="1" x="4617"/>
        <item m="1" x="3752"/>
        <item x="476"/>
        <item x="536"/>
        <item m="1" x="2402"/>
        <item m="1" x="4568"/>
        <item m="1" x="3046"/>
        <item m="1" x="3334"/>
        <item x="562"/>
        <item x="23"/>
        <item m="1" x="1654"/>
        <item m="1" x="4772"/>
        <item m="1" x="2407"/>
        <item m="1" x="1747"/>
        <item m="1" x="2158"/>
        <item x="533"/>
        <item x="293"/>
        <item x="170"/>
        <item m="1" x="4487"/>
        <item m="1" x="3796"/>
        <item x="474"/>
        <item m="1" x="3664"/>
        <item m="1" x="4909"/>
        <item m="1" x="4068"/>
        <item m="1" x="2788"/>
        <item m="1" x="3587"/>
        <item m="1" x="899"/>
        <item m="1" x="1504"/>
        <item m="1" x="4381"/>
        <item m="1" x="3056"/>
        <item x="370"/>
        <item x="510"/>
        <item m="1" x="3474"/>
        <item m="1" x="4890"/>
        <item m="1" x="1931"/>
        <item m="1" x="4252"/>
        <item m="1" x="1501"/>
        <item m="1" x="1616"/>
        <item m="1" x="3798"/>
        <item m="1" x="2596"/>
        <item m="1" x="901"/>
        <item m="1" x="1332"/>
        <item m="1" x="3865"/>
        <item m="1" x="4738"/>
        <item m="1" x="3718"/>
        <item m="1" x="2428"/>
        <item m="1" x="2300"/>
        <item x="58"/>
        <item m="1" x="4329"/>
        <item m="1" x="2609"/>
        <item m="1" x="1587"/>
        <item m="1" x="4946"/>
        <item m="1" x="2701"/>
        <item m="1" x="1990"/>
        <item m="1" x="3129"/>
        <item m="1" x="2771"/>
        <item m="1" x="2917"/>
        <item m="1" x="2414"/>
        <item m="1" x="2376"/>
        <item x="417"/>
        <item m="1" x="2582"/>
        <item m="1" x="2243"/>
        <item m="1" x="3311"/>
        <item m="1" x="1448"/>
        <item m="1" x="2012"/>
        <item m="1" x="3272"/>
        <item m="1" x="1002"/>
        <item x="513"/>
        <item m="1" x="2989"/>
        <item x="464"/>
        <item m="1" x="3346"/>
        <item m="1" x="2661"/>
        <item m="1" x="3011"/>
        <item m="1" x="4047"/>
        <item m="1" x="3168"/>
        <item x="8"/>
        <item m="1" x="2073"/>
        <item m="1" x="2003"/>
        <item m="1" x="814"/>
        <item x="188"/>
        <item m="1" x="3622"/>
        <item m="1" x="1685"/>
        <item m="1" x="1589"/>
        <item m="1" x="1146"/>
        <item m="1" x="3367"/>
        <item m="1" x="4603"/>
        <item m="1" x="3496"/>
        <item m="1" x="1229"/>
        <item m="1" x="1388"/>
        <item m="1" x="1925"/>
        <item x="336"/>
        <item m="1" x="4431"/>
        <item m="1" x="4618"/>
        <item m="1" x="2668"/>
        <item m="1" x="4503"/>
        <item m="1" x="2147"/>
        <item m="1" x="2081"/>
        <item x="53"/>
        <item m="1" x="1593"/>
        <item m="1" x="3057"/>
        <item m="1" x="3675"/>
        <item x="325"/>
        <item x="182"/>
        <item m="1" x="4714"/>
        <item m="1" x="2869"/>
        <item m="1" x="4726"/>
        <item x="523"/>
        <item m="1" x="2067"/>
        <item m="1" x="4615"/>
        <item m="1" x="713"/>
        <item m="1" x="3807"/>
        <item m="1" x="4868"/>
        <item x="468"/>
        <item m="1" x="2524"/>
        <item m="1" x="651"/>
        <item m="1" x="2130"/>
        <item x="229"/>
        <item x="176"/>
        <item m="1" x="1137"/>
        <item m="1" x="2162"/>
        <item m="1" x="3012"/>
        <item m="1" x="3469"/>
        <item m="1" x="1651"/>
        <item m="1" x="2611"/>
        <item m="1" x="3186"/>
        <item x="62"/>
        <item x="360"/>
        <item m="1" x="4705"/>
        <item x="215"/>
        <item m="1" x="914"/>
        <item m="1" x="2778"/>
        <item m="1" x="1631"/>
        <item m="1" x="1608"/>
        <item m="1" x="2270"/>
        <item m="1" x="2583"/>
        <item m="1" x="2971"/>
        <item m="1" x="1367"/>
        <item m="1" x="4680"/>
        <item m="1" x="3800"/>
        <item m="1" x="1312"/>
        <item m="1" x="3455"/>
        <item m="1" x="2235"/>
        <item m="1" x="1678"/>
        <item m="1" x="4797"/>
        <item m="1" x="1494"/>
        <item m="1" x="1066"/>
        <item x="32"/>
        <item m="1" x="4800"/>
        <item m="1" x="4805"/>
        <item m="1" x="4155"/>
        <item x="442"/>
        <item m="1" x="2912"/>
        <item x="199"/>
        <item m="1" x="4984"/>
        <item m="1" x="2314"/>
        <item m="1" x="3823"/>
        <item x="392"/>
        <item m="1" x="639"/>
        <item m="1" x="1692"/>
        <item m="1" x="4657"/>
        <item x="280"/>
        <item x="342"/>
        <item m="1" x="3968"/>
        <item m="1" x="4905"/>
        <item m="1" x="3993"/>
        <item m="1" x="1792"/>
        <item m="1" x="1462"/>
        <item x="341"/>
        <item m="1" x="4980"/>
        <item m="1" x="3446"/>
        <item m="1" x="2299"/>
        <item m="1" x="3105"/>
        <item m="1" x="4851"/>
        <item x="230"/>
        <item m="1" x="4725"/>
        <item m="1" x="733"/>
        <item m="1" x="2936"/>
        <item m="1" x="4276"/>
        <item m="1" x="3996"/>
        <item m="1" x="2982"/>
        <item m="1" x="2226"/>
        <item m="1" x="3316"/>
        <item m="1" x="2809"/>
        <item m="1" x="3498"/>
        <item m="1" x="4492"/>
        <item m="1" x="4696"/>
        <item m="1" x="1733"/>
        <item m="1" x="3521"/>
        <item m="1" x="1021"/>
        <item m="1" x="4874"/>
        <item m="1" x="3835"/>
        <item m="1" x="1921"/>
        <item m="1" x="681"/>
        <item m="1" x="3103"/>
        <item m="1" x="1304"/>
        <item m="1" x="2178"/>
        <item m="1" x="4390"/>
        <item m="1" x="2445"/>
        <item m="1" x="1621"/>
        <item m="1" x="2862"/>
        <item m="1" x="4539"/>
        <item m="1" x="1317"/>
        <item m="1" x="3055"/>
        <item x="387"/>
        <item m="1" x="3173"/>
        <item m="1" x="2264"/>
        <item m="1" x="4005"/>
        <item m="1" x="3883"/>
        <item m="1" x="2219"/>
        <item m="1" x="2452"/>
        <item m="1" x="1086"/>
        <item m="1" x="4351"/>
        <item m="1" x="1961"/>
        <item m="1" x="2838"/>
        <item m="1" x="2136"/>
        <item m="1" x="1419"/>
        <item m="1" x="1715"/>
        <item x="245"/>
        <item m="1" x="3719"/>
        <item m="1" x="1107"/>
        <item m="1" x="1168"/>
        <item m="1" x="2237"/>
        <item m="1" x="4437"/>
        <item m="1" x="4260"/>
        <item m="1" x="3330"/>
        <item x="486"/>
        <item m="1" x="3806"/>
        <item m="1" x="1905"/>
        <item m="1" x="1416"/>
        <item m="1" x="3867"/>
        <item m="1" x="2648"/>
        <item m="1" x="2027"/>
        <item m="1" x="2140"/>
        <item x="534"/>
        <item m="1" x="696"/>
        <item m="1" x="2004"/>
        <item m="1" x="3473"/>
        <item m="1" x="4443"/>
        <item m="1" x="3236"/>
        <item x="324"/>
        <item m="1" x="2432"/>
        <item m="1" x="2231"/>
        <item m="1" x="3629"/>
        <item m="1" x="954"/>
        <item m="1" x="2591"/>
        <item m="1" x="764"/>
        <item m="1" x="3052"/>
        <item m="1" x="1043"/>
        <item m="1" x="753"/>
        <item m="1" x="2059"/>
        <item m="1" x="4807"/>
        <item m="1" x="4779"/>
        <item m="1" x="2651"/>
        <item m="1" x="1911"/>
        <item m="1" x="3727"/>
        <item m="1" x="4770"/>
        <item m="1" x="3102"/>
        <item m="1" x="976"/>
        <item x="128"/>
        <item m="1" x="1231"/>
        <item m="1" x="4516"/>
        <item m="1" x="4349"/>
        <item m="1" x="2879"/>
        <item m="1" x="2161"/>
        <item m="1" x="1505"/>
        <item m="1" x="2295"/>
        <item m="1" x="3481"/>
        <item m="1" x="1450"/>
        <item m="1" x="2840"/>
        <item m="1" x="946"/>
        <item m="1" x="3388"/>
        <item m="1" x="944"/>
        <item m="1" x="2007"/>
        <item m="1" x="2766"/>
        <item m="1" x="2743"/>
        <item m="1" x="3847"/>
        <item m="1" x="4238"/>
        <item m="1" x="4609"/>
        <item m="1" x="3276"/>
        <item m="1" x="2429"/>
        <item x="155"/>
        <item x="479"/>
        <item m="1" x="3323"/>
        <item m="1" x="3047"/>
        <item m="1" x="2829"/>
        <item m="1" x="4184"/>
        <item m="1" x="4810"/>
        <item m="1" x="2889"/>
        <item x="151"/>
        <item m="1" x="3024"/>
        <item m="1" x="2647"/>
        <item m="1" x="2910"/>
        <item m="1" x="1867"/>
        <item m="1" x="3789"/>
        <item m="1" x="1919"/>
        <item m="1" x="3445"/>
        <item m="1" x="4745"/>
        <item m="1" x="2867"/>
        <item m="1" x="2555"/>
        <item m="1" x="1497"/>
        <item m="1" x="782"/>
        <item m="1" x="2548"/>
        <item m="1" x="2038"/>
        <item m="1" x="3953"/>
        <item m="1" x="3328"/>
        <item m="1" x="730"/>
        <item m="1" x="3028"/>
        <item m="1" x="1566"/>
        <item m="1" x="3523"/>
        <item m="1" x="3209"/>
        <item m="1" x="3813"/>
        <item m="1" x="1241"/>
        <item m="1" x="1528"/>
        <item m="1" x="4553"/>
        <item m="1" x="2965"/>
        <item m="1" x="1177"/>
        <item m="1" x="3828"/>
        <item m="1" x="1936"/>
        <item m="1" x="4674"/>
        <item m="1" x="3290"/>
        <item m="1" x="2450"/>
        <item m="1" x="3972"/>
        <item m="1" x="4186"/>
        <item m="1" x="1085"/>
        <item m="1" x="835"/>
        <item m="1" x="3382"/>
        <item m="1" x="4630"/>
        <item m="1" x="2334"/>
        <item m="1" x="3913"/>
        <item m="1" x="4602"/>
        <item m="1" x="4791"/>
        <item m="1" x="1776"/>
        <item m="1" x="2186"/>
        <item m="1" x="2471"/>
        <item m="1" x="2748"/>
        <item m="1" x="2937"/>
        <item m="1" x="2355"/>
        <item m="1" x="1641"/>
        <item m="1" x="624"/>
        <item m="1" x="1805"/>
        <item m="1" x="2408"/>
        <item x="306"/>
        <item m="1" x="2960"/>
        <item x="469"/>
        <item m="1" x="4079"/>
        <item m="1" x="3191"/>
        <item m="1" x="1073"/>
        <item x="169"/>
        <item x="487"/>
        <item x="497"/>
        <item m="1" x="663"/>
        <item m="1" x="4130"/>
        <item m="1" x="1620"/>
        <item m="1" x="961"/>
        <item x="457"/>
        <item m="1" x="2092"/>
        <item m="1" x="1389"/>
        <item m="1" x="1536"/>
        <item m="1" x="1718"/>
        <item m="1" x="3383"/>
        <item m="1" x="3641"/>
        <item m="1" x="3973"/>
        <item m="1" x="4241"/>
        <item m="1" x="1238"/>
        <item m="1" x="4584"/>
        <item x="548"/>
        <item m="1" x="4243"/>
        <item m="1" x="4486"/>
        <item m="1" x="4682"/>
        <item m="1" x="1957"/>
        <item m="1" x="4021"/>
        <item m="1" x="2949"/>
        <item m="1" x="2345"/>
        <item m="1" x="3829"/>
        <item m="1" x="4748"/>
        <item m="1" x="3838"/>
        <item m="1" x="1365"/>
        <item m="1" x="1740"/>
        <item x="287"/>
        <item m="1" x="4718"/>
        <item x="171"/>
        <item m="1" x="2978"/>
        <item m="1" x="1665"/>
        <item m="1" x="2033"/>
        <item m="1" x="3189"/>
        <item m="1" x="980"/>
        <item m="1" x="1764"/>
        <item m="1" x="3164"/>
        <item m="1" x="1166"/>
        <item m="1" x="4700"/>
        <item x="21"/>
        <item m="1" x="3392"/>
        <item m="1" x="3549"/>
        <item x="83"/>
        <item m="1" x="1695"/>
        <item m="1" x="2438"/>
        <item m="1" x="4733"/>
        <item x="483"/>
        <item m="1" x="3071"/>
        <item m="1" x="2858"/>
        <item m="1" x="4365"/>
        <item m="1" x="1249"/>
        <item m="1" x="3934"/>
        <item m="1" x="4265"/>
        <item m="1" x="1881"/>
        <item m="1" x="4758"/>
        <item m="1" x="4638"/>
        <item m="1" x="3162"/>
        <item m="1" x="3084"/>
        <item m="1" x="4855"/>
        <item m="1" x="4759"/>
        <item m="1" x="992"/>
        <item m="1" x="3237"/>
        <item m="1" x="4563"/>
        <item x="367"/>
        <item m="1" x="3746"/>
        <item m="1" x="767"/>
        <item m="1" x="852"/>
        <item m="1" x="1321"/>
        <item m="1" x="2772"/>
        <item m="1" x="3893"/>
        <item m="1" x="1370"/>
        <item m="1" x="2911"/>
        <item m="1" x="1484"/>
        <item m="1" x="1672"/>
        <item m="1" x="2488"/>
        <item m="1" x="3772"/>
        <item m="1" x="3512"/>
        <item m="1" x="2657"/>
        <item m="1" x="2682"/>
        <item m="1" x="1798"/>
        <item m="1" x="3059"/>
        <item m="1" x="3729"/>
        <item m="1" x="609"/>
        <item m="1" x="1989"/>
        <item m="1" x="1028"/>
        <item m="1" x="1827"/>
        <item m="1" x="4862"/>
        <item m="1" x="2600"/>
        <item m="1" x="4625"/>
        <item m="1" x="2580"/>
        <item m="1" x="2097"/>
        <item m="1" x="3544"/>
        <item m="1" x="3728"/>
        <item m="1" x="1662"/>
        <item m="1" x="3716"/>
        <item m="1" x="3308"/>
        <item m="1" x="3733"/>
        <item m="1" x="4367"/>
        <item x="484"/>
        <item m="1" x="4065"/>
        <item x="146"/>
        <item x="195"/>
        <item m="1" x="712"/>
        <item m="1" x="840"/>
        <item m="1" x="657"/>
        <item m="1" x="1027"/>
        <item m="1" x="3119"/>
        <item m="1" x="3009"/>
        <item m="1" x="2520"/>
        <item m="1" x="1179"/>
        <item m="1" x="2437"/>
        <item x="93"/>
        <item m="1" x="2476"/>
        <item m="1" x="3681"/>
        <item m="1" x="812"/>
        <item m="1" x="3685"/>
        <item x="99"/>
        <item m="1" x="786"/>
        <item x="153"/>
        <item m="1" x="4883"/>
        <item m="1" x="1480"/>
        <item m="1" x="1051"/>
        <item x="348"/>
        <item m="1" x="4739"/>
        <item m="1" x="3338"/>
        <item m="1" x="2275"/>
        <item m="1" x="678"/>
        <item x="52"/>
        <item m="1" x="3666"/>
        <item m="1" x="2014"/>
        <item m="1" x="1136"/>
        <item x="187"/>
        <item m="1" x="1427"/>
        <item m="1" x="1971"/>
        <item m="1" x="1661"/>
        <item m="1" x="4143"/>
        <item m="1" x="1878"/>
        <item m="1" x="1274"/>
        <item m="1" x="4548"/>
        <item m="1" x="4177"/>
        <item m="1" x="1244"/>
        <item m="1" x="2481"/>
        <item x="518"/>
        <item m="1" x="1702"/>
        <item m="1" x="1809"/>
        <item m="1" x="2974"/>
        <item x="203"/>
        <item m="1" x="4015"/>
        <item m="1" x="3401"/>
        <item m="1" x="2853"/>
        <item x="488"/>
        <item x="427"/>
        <item x="355"/>
        <item m="1" x="2029"/>
        <item x="381"/>
        <item m="1" x="2364"/>
        <item x="233"/>
        <item m="1" x="610"/>
        <item m="1" x="3242"/>
        <item m="1" x="1954"/>
        <item m="1" x="2906"/>
        <item m="1" x="3329"/>
        <item m="1" x="3016"/>
        <item m="1" x="3014"/>
        <item m="1" x="2728"/>
        <item m="1" x="770"/>
        <item m="1" x="2914"/>
        <item m="1" x="1886"/>
        <item x="118"/>
        <item m="1" x="2015"/>
        <item x="31"/>
        <item m="1" x="964"/>
        <item m="1" x="2248"/>
        <item m="1" x="2175"/>
        <item x="71"/>
        <item m="1" x="1775"/>
        <item m="1" x="3220"/>
        <item m="1" x="2261"/>
        <item m="1" x="888"/>
        <item m="1" x="919"/>
        <item m="1" x="4809"/>
        <item x="428"/>
        <item m="1" x="1943"/>
        <item m="1" x="3580"/>
        <item m="1" x="2536"/>
        <item m="1" x="2541"/>
        <item m="1" x="1440"/>
        <item m="1" x="2967"/>
        <item m="1" x="1260"/>
        <item m="1" x="2093"/>
        <item m="1" x="3990"/>
        <item m="1" x="669"/>
        <item m="1" x="4977"/>
        <item m="1" x="625"/>
        <item m="1" x="2095"/>
        <item m="1" x="3926"/>
        <item m="1" x="2847"/>
        <item m="1" x="2322"/>
        <item m="1" x="2855"/>
        <item m="1" x="4018"/>
        <item m="1" x="2194"/>
        <item m="1" x="4697"/>
        <item m="1" x="2327"/>
        <item m="1" x="1564"/>
        <item m="1" x="3771"/>
        <item x="290"/>
        <item x="350"/>
        <item m="1" x="2898"/>
        <item m="1" x="3006"/>
        <item m="1" x="737"/>
        <item m="1" x="4886"/>
        <item m="1" x="1104"/>
        <item m="1" x="4775"/>
        <item m="1" x="1783"/>
        <item m="1" x="3880"/>
        <item x="415"/>
        <item x="589"/>
        <item x="511"/>
        <item m="1" x="957"/>
        <item m="1" x="2123"/>
        <item m="1" x="4611"/>
        <item m="1" x="4828"/>
        <item m="1" x="3485"/>
        <item m="1" x="1502"/>
        <item m="1" x="4924"/>
        <item m="1" x="3418"/>
        <item m="1" x="886"/>
        <item m="1" x="4645"/>
        <item m="1" x="1182"/>
        <item m="1" x="894"/>
        <item m="1" x="4158"/>
        <item m="1" x="3739"/>
        <item m="1" x="3556"/>
        <item m="1" x="2597"/>
        <item m="1" x="4301"/>
        <item m="1" x="667"/>
        <item x="138"/>
        <item m="1" x="2691"/>
        <item m="1" x="1705"/>
        <item x="18"/>
        <item m="1" x="4036"/>
        <item m="1" x="3018"/>
        <item m="1" x="1940"/>
        <item m="1" x="1232"/>
        <item m="1" x="2508"/>
        <item m="1" x="2401"/>
        <item m="1" x="1690"/>
        <item m="1" x="4505"/>
        <item m="1" x="1788"/>
        <item m="1" x="1699"/>
        <item m="1" x="2726"/>
        <item m="1" x="2950"/>
        <item m="1" x="3425"/>
        <item m="1" x="834"/>
        <item m="1" x="4319"/>
        <item m="1" x="2002"/>
        <item x="284"/>
        <item m="1" x="3097"/>
        <item m="1" x="1183"/>
        <item m="1" x="3640"/>
        <item m="1" x="1134"/>
        <item m="1" x="4866"/>
        <item m="1" x="4747"/>
        <item m="1" x="2347"/>
        <item m="1" x="3448"/>
        <item m="1" x="703"/>
        <item m="1" x="1813"/>
        <item x="520"/>
        <item m="1" x="2077"/>
        <item x="55"/>
        <item m="1" x="801"/>
        <item m="1" x="1803"/>
        <item m="1" x="1815"/>
        <item m="1" x="4517"/>
        <item m="1" x="2633"/>
        <item m="1" x="2184"/>
        <item m="1" x="3803"/>
        <item m="1" x="1748"/>
        <item m="1" x="1476"/>
        <item x="424"/>
        <item m="1" x="1133"/>
        <item x="514"/>
        <item m="1" x="1071"/>
        <item m="1" x="2952"/>
        <item m="1" x="1127"/>
        <item m="1" x="4526"/>
        <item m="1" x="4355"/>
        <item m="1" x="3491"/>
        <item m="1" x="1992"/>
        <item m="1" x="1874"/>
        <item x="475"/>
        <item m="1" x="1543"/>
        <item m="1" x="758"/>
        <item x="529"/>
        <item m="1" x="668"/>
        <item m="1" x="4963"/>
        <item x="272"/>
        <item m="1" x="2293"/>
        <item m="1" x="4496"/>
        <item m="1" x="1947"/>
        <item m="1" x="2112"/>
        <item m="1" x="2187"/>
        <item m="1" x="4549"/>
        <item m="1" x="2346"/>
        <item m="1" x="1580"/>
        <item m="1" x="4322"/>
        <item x="377"/>
        <item m="1" x="717"/>
        <item m="1" x="4473"/>
        <item x="351"/>
        <item m="1" x="1415"/>
        <item m="1" x="1645"/>
        <item m="1" x="4061"/>
        <item m="1" x="1941"/>
        <item m="1" x="3085"/>
        <item m="1" x="2461"/>
        <item m="1" x="4132"/>
        <item m="1" x="642"/>
        <item m="1" x="2143"/>
        <item m="1" x="1473"/>
        <item m="1" x="4206"/>
        <item x="458"/>
        <item m="1" x="4968"/>
        <item m="1" x="3999"/>
        <item m="1" x="3540"/>
        <item m="1" x="3089"/>
        <item m="1" x="1689"/>
        <item m="1" x="3253"/>
        <item m="1" x="1030"/>
        <item m="1" x="2782"/>
        <item x="291"/>
        <item x="366"/>
        <item m="1" x="1895"/>
        <item m="1" x="3536"/>
        <item m="1" x="4801"/>
        <item m="1" x="3254"/>
        <item m="1" x="3949"/>
        <item m="1" x="3339"/>
        <item x="553"/>
        <item m="1" x="728"/>
        <item m="1" x="1917"/>
        <item m="1" x="3348"/>
        <item m="1" x="3333"/>
        <item m="1" x="2480"/>
        <item m="1" x="2392"/>
        <item m="1" x="4215"/>
        <item m="1" x="1199"/>
        <item m="1" x="4257"/>
        <item m="1" x="2139"/>
        <item m="1" x="4847"/>
        <item m="1" x="2810"/>
        <item m="1" x="4124"/>
        <item m="1" x="2411"/>
        <item m="1" x="4450"/>
        <item m="1" x="2156"/>
        <item m="1" x="2528"/>
        <item m="1" x="2116"/>
        <item m="1" x="1785"/>
        <item x="371"/>
        <item m="1" x="637"/>
        <item m="1" x="4773"/>
        <item m="1" x="3815"/>
        <item m="1" x="1287"/>
        <item m="1" x="2218"/>
        <item m="1" x="1910"/>
        <item m="1" x="739"/>
        <item x="236"/>
        <item m="1" x="3704"/>
        <item m="1" x="3161"/>
        <item m="1" x="881"/>
        <item m="1" x="4056"/>
        <item m="1" x="3022"/>
        <item m="1" x="2747"/>
        <item m="1" x="952"/>
        <item m="1" x="4626"/>
        <item m="1" x="1064"/>
        <item m="1" x="1186"/>
        <item m="1" x="4345"/>
        <item m="1" x="1656"/>
        <item m="1" x="1202"/>
        <item m="1" x="2373"/>
        <item m="1" x="3911"/>
        <item m="1" x="1532"/>
        <item m="1" x="2075"/>
        <item m="1" x="1398"/>
        <item m="1" x="3516"/>
        <item m="1" x="2724"/>
        <item m="1" x="2311"/>
        <item m="1" x="1761"/>
        <item m="1" x="4734"/>
        <item m="1" x="2884"/>
        <item m="1" x="763"/>
        <item m="1" x="3928"/>
        <item m="1" x="3166"/>
        <item m="1" x="1345"/>
        <item m="1" x="969"/>
        <item m="1" x="2532"/>
        <item m="1" x="2627"/>
        <item m="1" x="4498"/>
        <item m="1" x="1901"/>
        <item m="1" x="998"/>
        <item m="1" x="691"/>
        <item m="1" x="3769"/>
        <item m="1" x="4973"/>
        <item m="1" x="4640"/>
        <item m="1" x="1069"/>
        <item m="1" x="4541"/>
        <item m="1" x="2055"/>
        <item m="1" x="2996"/>
        <item m="1" x="1872"/>
        <item m="1" x="3791"/>
        <item m="1" x="4078"/>
        <item m="1" x="2492"/>
        <item m="1" x="3604"/>
        <item m="1" x="2013"/>
        <item m="1" x="2351"/>
        <item x="192"/>
        <item m="1" x="2612"/>
        <item m="1" x="3711"/>
        <item m="1" x="3506"/>
        <item m="1" x="4223"/>
        <item m="1" x="809"/>
        <item x="86"/>
        <item m="1" x="4510"/>
        <item m="1" x="2544"/>
        <item m="1" x="3471"/>
        <item m="1" x="2574"/>
        <item m="1" x="2815"/>
        <item m="1" x="1061"/>
        <item m="1" x="2901"/>
        <item m="1" x="4591"/>
        <item m="1" x="3577"/>
        <item m="1" x="3526"/>
        <item m="1" x="4007"/>
        <item x="34"/>
        <item m="1" x="2816"/>
        <item m="1" x="3602"/>
        <item x="113"/>
        <item m="1" x="2493"/>
        <item x="386"/>
        <item m="1" x="1053"/>
        <item m="1" x="3396"/>
        <item m="1" x="3035"/>
        <item m="1" x="1100"/>
        <item m="1" x="4612"/>
        <item m="1" x="2039"/>
        <item m="1" x="4306"/>
        <item x="77"/>
        <item x="304"/>
        <item m="1" x="4042"/>
        <item m="1" x="1396"/>
        <item m="1" x="2391"/>
        <item m="1" x="1969"/>
        <item m="1" x="2686"/>
        <item m="1" x="4459"/>
        <item m="1" x="3848"/>
        <item m="1" x="3994"/>
        <item m="1" x="3902"/>
        <item m="1" x="3795"/>
        <item m="1" x="781"/>
        <item m="1" x="3313"/>
        <item x="345"/>
        <item m="1" x="2678"/>
        <item x="372"/>
        <item m="1" x="3172"/>
        <item m="1" x="2672"/>
        <item m="1" x="2676"/>
        <item m="1" x="3660"/>
        <item m="1" x="3714"/>
        <item m="1" x="4976"/>
        <item m="1" x="3694"/>
        <item x="20"/>
        <item m="1" x="1339"/>
        <item x="273"/>
        <item m="1" x="2683"/>
        <item m="1" x="2087"/>
        <item m="1" x="2315"/>
        <item m="1" x="695"/>
        <item m="1" x="2646"/>
        <item m="1" x="3874"/>
        <item x="49"/>
        <item x="565"/>
        <item m="1" x="2671"/>
        <item m="1" x="756"/>
        <item m="1" x="2367"/>
        <item m="1" x="3582"/>
        <item m="1" x="3849"/>
        <item m="1" x="3586"/>
        <item x="166"/>
        <item m="1" x="3176"/>
        <item m="1" x="1383"/>
        <item m="1" x="3831"/>
        <item m="1" x="4353"/>
        <item m="1" x="4172"/>
        <item m="1" x="4794"/>
        <item m="1" x="1315"/>
        <item m="1" x="4445"/>
        <item m="1" x="3202"/>
        <item m="1" x="2630"/>
        <item m="1" x="4600"/>
        <item m="1" x="1510"/>
        <item m="1" x="4142"/>
        <item m="1" x="1115"/>
        <item m="1" x="2444"/>
        <item m="1" x="1632"/>
        <item m="1" x="1599"/>
        <item m="1" x="4346"/>
        <item m="1" x="4907"/>
        <item x="317"/>
        <item m="1" x="1962"/>
        <item m="1" x="2988"/>
        <item x="271"/>
        <item m="1" x="777"/>
        <item m="1" x="2645"/>
        <item m="1" x="1508"/>
        <item m="1" x="1214"/>
        <item m="1" x="4923"/>
        <item m="1" x="3327"/>
        <item m="1" x="1546"/>
        <item m="1" x="2658"/>
        <item m="1" x="4771"/>
        <item m="1" x="931"/>
        <item m="1" x="618"/>
        <item m="1" x="2193"/>
        <item m="1" x="4212"/>
        <item m="1" x="2787"/>
        <item m="1" x="4472"/>
        <item m="1" x="3030"/>
        <item m="1" x="4650"/>
        <item m="1" x="1754"/>
        <item x="137"/>
        <item m="1" x="3908"/>
        <item m="1" x="3875"/>
        <item m="1" x="2560"/>
        <item m="1" x="2283"/>
        <item m="1" x="3717"/>
        <item m="1" x="1099"/>
        <item m="1" x="1527"/>
        <item m="1" x="4887"/>
        <item m="1" x="4929"/>
        <item x="528"/>
        <item m="1" x="3595"/>
        <item m="1" x="1883"/>
        <item m="1" x="1361"/>
        <item m="1" x="1994"/>
        <item m="1" x="3205"/>
        <item m="1" x="1976"/>
        <item m="1" x="836"/>
        <item m="1" x="3553"/>
        <item m="1" x="1288"/>
        <item m="1" x="3671"/>
        <item m="1" x="4010"/>
        <item m="1" x="3039"/>
        <item m="1" x="3397"/>
        <item m="1" x="3992"/>
        <item m="1" x="1857"/>
        <item m="1" x="1709"/>
        <item m="1" x="4525"/>
        <item m="1" x="3832"/>
        <item m="1" x="4461"/>
        <item m="1" x="2305"/>
        <item x="60"/>
        <item m="1" x="1588"/>
        <item m="1" x="4106"/>
        <item m="1" x="1038"/>
        <item m="1" x="849"/>
        <item m="1" x="2680"/>
        <item m="1" x="3306"/>
        <item m="1" x="2887"/>
        <item m="1" x="1974"/>
        <item x="286"/>
        <item m="1" x="1638"/>
        <item m="1" x="2744"/>
        <item m="1" x="3754"/>
        <item m="1" x="4429"/>
        <item m="1" x="1062"/>
        <item m="1" x="3432"/>
        <item m="1" x="3380"/>
        <item m="1" x="4291"/>
        <item m="1" x="3174"/>
        <item m="1" x="861"/>
        <item x="499"/>
        <item m="1" x="2249"/>
        <item m="1" x="3213"/>
        <item m="1" x="1184"/>
        <item m="1" x="710"/>
        <item m="1" x="2353"/>
        <item m="1" x="2896"/>
        <item m="1" x="2084"/>
        <item m="1" x="2504"/>
        <item m="1" x="3542"/>
        <item m="1" x="3559"/>
        <item m="1" x="3749"/>
        <item x="470"/>
        <item m="1" x="670"/>
        <item m="1" x="1755"/>
        <item m="1" x="3931"/>
        <item m="1" x="4253"/>
        <item m="1" x="4653"/>
        <item m="1" x="4619"/>
        <item m="1" x="3013"/>
        <item m="1" x="4146"/>
        <item m="1" x="3187"/>
        <item m="1" x="4608"/>
        <item m="1" x="3700"/>
        <item x="569"/>
        <item m="1" x="4298"/>
        <item m="1" x="1677"/>
        <item m="1" x="4872"/>
        <item m="1" x="1307"/>
        <item m="1" x="4476"/>
        <item x="482"/>
        <item m="1" x="4315"/>
        <item m="1" x="2094"/>
        <item m="1" x="773"/>
        <item m="1" x="4702"/>
        <item x="435"/>
        <item m="1" x="1633"/>
        <item m="1" x="4857"/>
        <item m="1" x="3041"/>
        <item m="1" x="2430"/>
        <item m="1" x="1973"/>
        <item m="1" x="3279"/>
        <item m="1" x="4033"/>
        <item m="1" x="1451"/>
        <item m="1" x="766"/>
        <item m="1" x="970"/>
        <item m="1" x="4249"/>
        <item m="1" x="1320"/>
        <item m="1" x="3015"/>
        <item m="1" x="1820"/>
        <item m="1" x="1331"/>
        <item m="1" x="2825"/>
        <item m="1" x="1999"/>
        <item m="1" x="4769"/>
        <item m="1" x="1068"/>
        <item m="1" x="2588"/>
        <item x="356"/>
        <item m="1" x="789"/>
        <item m="1" x="797"/>
        <item m="1" x="2599"/>
        <item m="1" x="1548"/>
        <item m="1" x="3104"/>
        <item m="1" x="2656"/>
        <item m="1" x="2729"/>
        <item m="1" x="2924"/>
        <item m="1" x="4283"/>
        <item m="1" x="2274"/>
        <item m="1" x="1640"/>
        <item m="1" x="4272"/>
        <item m="1" x="4962"/>
        <item m="1" x="905"/>
        <item m="1" x="3163"/>
        <item m="1" x="3955"/>
        <item m="1" x="3517"/>
        <item m="1" x="4347"/>
        <item m="1" x="2309"/>
        <item m="1" x="898"/>
        <item m="1" x="1306"/>
        <item m="1" x="820"/>
        <item m="1" x="1262"/>
        <item m="1" x="787"/>
        <item m="1" x="1952"/>
        <item m="1" x="2845"/>
        <item m="1" x="2902"/>
        <item x="594"/>
        <item m="1" x="3750"/>
        <item m="1" x="4527"/>
        <item m="1" x="4960"/>
        <item x="471"/>
        <item m="1" x="1272"/>
        <item m="1" x="3226"/>
        <item m="1" x="3961"/>
        <item m="1" x="2585"/>
        <item m="1" x="2042"/>
        <item m="1" x="1553"/>
        <item x="30"/>
        <item m="1" x="2479"/>
        <item m="1" x="4362"/>
        <item m="1" x="4521"/>
        <item m="1" x="4537"/>
        <item x="456"/>
        <item m="1" x="1181"/>
        <item m="1" x="3947"/>
        <item m="1" x="2120"/>
        <item m="1" x="3482"/>
        <item m="1" x="640"/>
        <item m="1" x="2888"/>
        <item m="1" x="1447"/>
        <item m="1" x="3967"/>
        <item m="1" x="3590"/>
        <item m="1" x="3985"/>
        <item m="1" x="3178"/>
        <item x="495"/>
        <item m="1" x="4829"/>
        <item m="1" x="3461"/>
        <item m="1" x="2738"/>
        <item m="1" x="2628"/>
        <item m="1" x="3470"/>
        <item m="1" x="1781"/>
        <item m="1" x="4093"/>
        <item m="1" x="4876"/>
        <item m="1" x="2185"/>
        <item m="1" x="1222"/>
        <item m="1" x="3743"/>
        <item m="1" x="1200"/>
        <item m="1" x="4284"/>
        <item x="259"/>
        <item m="1" x="4363"/>
        <item m="1" x="1542"/>
        <item m="1" x="4506"/>
        <item x="512"/>
        <item m="1" x="1067"/>
        <item m="1" x="3049"/>
        <item m="1" x="2915"/>
        <item m="1" x="3851"/>
        <item m="1" x="1782"/>
        <item m="1" x="604"/>
        <item x="568"/>
        <item m="1" x="1870"/>
        <item m="1" x="1399"/>
        <item m="1" x="1773"/>
        <item m="1" x="4332"/>
        <item m="1" x="1557"/>
        <item m="1" x="4879"/>
        <item m="1" x="4041"/>
        <item m="1" x="2619"/>
        <item m="1" x="4123"/>
        <item m="1" x="1309"/>
        <item m="1" x="1196"/>
        <item m="1" x="955"/>
        <item m="1" x="1364"/>
        <item m="1" x="3808"/>
        <item x="361"/>
        <item m="1" x="3234"/>
        <item m="1" x="3759"/>
        <item m="1" x="4201"/>
        <item m="1" x="1084"/>
        <item m="1" x="2803"/>
        <item m="1" x="4565"/>
        <item m="1" x="4170"/>
        <item m="1" x="1348"/>
        <item m="1" x="4087"/>
        <item m="1" x="3183"/>
        <item x="390"/>
        <item x="347"/>
        <item x="269"/>
        <item m="1" x="4358"/>
        <item m="1" x="3593"/>
        <item m="1" x="2117"/>
        <item m="1" x="4195"/>
        <item m="1" x="3150"/>
        <item m="1" x="796"/>
        <item m="1" x="2223"/>
        <item m="1" x="1485"/>
        <item x="311"/>
        <item m="1" x="4189"/>
        <item x="105"/>
        <item m="1" x="4690"/>
        <item m="1" x="1547"/>
        <item m="1" x="1149"/>
        <item m="1" x="4631"/>
        <item m="1" x="2752"/>
        <item m="1" x="1230"/>
        <item m="1" x="1088"/>
        <item m="1" x="3623"/>
        <item m="1" x="4246"/>
        <item m="1" x="4354"/>
        <item m="1" x="3122"/>
        <item m="1" x="3589"/>
        <item x="600"/>
        <item m="1" x="1929"/>
        <item m="1" x="3689"/>
        <item m="1" x="4248"/>
        <item x="63"/>
        <item m="1" x="4544"/>
        <item m="1" x="1824"/>
        <item m="1" x="4821"/>
        <item m="1" x="3792"/>
        <item x="444"/>
        <item x="595"/>
        <item m="1" x="3737"/>
        <item x="231"/>
        <item x="246"/>
        <item x="502"/>
        <item m="1" x="3462"/>
        <item m="1" x="4558"/>
        <item m="1" x="4782"/>
        <item m="1" x="2856"/>
        <item m="1" x="2756"/>
        <item m="1" x="2205"/>
        <item m="1" x="727"/>
        <item m="1" x="3839"/>
        <item m="1" x="959"/>
        <item m="1" x="2217"/>
        <item m="1" x="1722"/>
        <item m="1" x="1007"/>
        <item m="1" x="4426"/>
        <item m="1" x="839"/>
        <item m="1" x="2113"/>
        <item m="1" x="1735"/>
        <item m="1" x="1729"/>
        <item x="268"/>
        <item m="1" x="4925"/>
        <item m="1" x="3083"/>
        <item m="1" x="1652"/>
        <item m="1" x="2360"/>
        <item m="1" x="3987"/>
        <item m="1" x="4571"/>
        <item m="1" x="3780"/>
        <item m="1" x="3899"/>
        <item m="1" x="2694"/>
        <item x="177"/>
        <item x="156"/>
        <item x="481"/>
        <item m="1" x="4398"/>
        <item m="1" x="2562"/>
        <item x="238"/>
        <item m="1" x="4648"/>
        <item m="1" x="4002"/>
        <item m="1" x="1120"/>
        <item m="1" x="1266"/>
        <item m="1" x="2603"/>
        <item m="1" x="1763"/>
        <item m="1" x="4491"/>
        <item x="590"/>
        <item m="1" x="1352"/>
        <item m="1" x="2690"/>
        <item m="1" x="2342"/>
        <item m="1" x="4133"/>
        <item m="1" x="2317"/>
        <item m="1" x="3548"/>
        <item m="1" x="1297"/>
        <item m="1" x="4062"/>
        <item x="560"/>
        <item m="1" x="1358"/>
        <item m="1" x="1382"/>
        <item m="1" x="1704"/>
        <item m="1" x="1341"/>
        <item m="1" x="1046"/>
        <item m="1" x="2882"/>
        <item m="1" x="3638"/>
        <item m="1" x="3762"/>
        <item m="1" x="2256"/>
        <item m="1" x="3785"/>
        <item m="1" x="3954"/>
        <item m="1" x="2697"/>
        <item x="56"/>
        <item m="1" x="1057"/>
        <item m="1" x="2913"/>
        <item m="1" x="1609"/>
        <item m="1" x="3765"/>
        <item m="1" x="939"/>
        <item m="1" x="2669"/>
        <item m="1" x="790"/>
        <item m="1" x="1984"/>
        <item m="1" x="3644"/>
        <item m="1" x="4636"/>
        <item m="1" x="3656"/>
        <item m="1" x="3215"/>
        <item m="1" x="2765"/>
        <item m="1" x="2758"/>
        <item m="1" x="1742"/>
        <item m="1" x="3910"/>
        <item m="1" x="1247"/>
        <item m="1" x="1664"/>
        <item m="1" x="3976"/>
        <item m="1" x="2880"/>
        <item m="1" x="3424"/>
        <item x="526"/>
        <item m="1" x="2146"/>
        <item m="1" x="4102"/>
        <item m="1" x="1240"/>
        <item m="1" x="1614"/>
        <item m="1" x="3578"/>
        <item m="1" x="1164"/>
        <item m="1" x="1189"/>
        <item m="1" x="1453"/>
        <item m="1" x="4368"/>
        <item m="1" x="2543"/>
        <item m="1" x="3487"/>
        <item m="1" x="2064"/>
        <item m="1" x="3894"/>
        <item m="1" x="2358"/>
        <item m="1" x="1322"/>
        <item m="1" x="4687"/>
        <item m="1" x="776"/>
        <item m="1" x="2422"/>
        <item m="1" x="2987"/>
        <item m="1" x="1412"/>
        <item m="1" x="1036"/>
        <item m="1" x="1114"/>
        <item m="1" x="4343"/>
        <item m="1" x="3618"/>
        <item m="1" x="1912"/>
        <item m="1" x="4160"/>
        <item m="1" x="4512"/>
        <item m="1" x="4710"/>
        <item m="1" x="2643"/>
        <item m="1" x="1439"/>
        <item m="1" x="2727"/>
        <item m="1" x="2063"/>
        <item m="1" x="3963"/>
        <item m="1" x="4751"/>
        <item x="498"/>
        <item m="1" x="869"/>
        <item x="189"/>
        <item m="1" x="3406"/>
        <item m="1" x="3073"/>
        <item m="1" x="1908"/>
        <item x="220"/>
        <item m="1" x="3825"/>
        <item m="1" x="2443"/>
        <item x="394"/>
        <item m="1" x="2951"/>
        <item m="1" x="4372"/>
        <item m="1" x="4915"/>
        <item x="173"/>
        <item x="440"/>
        <item m="1" x="4153"/>
        <item m="1" x="4207"/>
        <item m="1" x="746"/>
        <item m="1" x="648"/>
        <item x="383"/>
        <item x="11"/>
        <item m="1" x="3020"/>
        <item m="1" x="838"/>
        <item m="1" x="785"/>
        <item m="1" x="804"/>
        <item m="1" x="3981"/>
        <item m="1" x="4853"/>
        <item m="1" x="4202"/>
        <item x="94"/>
        <item m="1" x="2926"/>
        <item m="1" x="4937"/>
        <item m="1" x="2328"/>
        <item m="1" x="1866"/>
        <item m="1" x="2664"/>
        <item m="1" x="3196"/>
        <item m="1" x="1039"/>
        <item m="1" x="1810"/>
        <item m="1" x="3678"/>
        <item m="1" x="4316"/>
        <item m="1" x="751"/>
        <item m="1" x="1492"/>
        <item m="1" x="4115"/>
        <item m="1" x="829"/>
        <item m="1" x="3404"/>
        <item m="1" x="2783"/>
        <item x="168"/>
        <item m="1" x="2230"/>
        <item m="1" x="4678"/>
        <item x="396"/>
        <item m="1" x="4844"/>
        <item m="1" x="3079"/>
        <item m="1" x="3924"/>
        <item m="1" x="4562"/>
        <item m="1" x="4911"/>
        <item m="1" x="1414"/>
        <item m="1" x="4499"/>
        <item m="1" x="1360"/>
        <item x="516"/>
        <item x="492"/>
        <item m="1" x="4454"/>
        <item m="1" x="633"/>
        <item m="1" x="3852"/>
        <item m="1" x="4422"/>
        <item m="1" x="1927"/>
        <item m="1" x="4975"/>
        <item m="1" x="3597"/>
        <item x="490"/>
        <item m="1" x="2405"/>
        <item x="184"/>
        <item x="180"/>
        <item m="1" x="4104"/>
        <item m="1" x="3293"/>
        <item m="1" x="1411"/>
        <item m="1" x="1234"/>
        <item m="1" x="1519"/>
        <item m="1" x="1799"/>
        <item m="1" x="4867"/>
        <item m="1" x="1132"/>
        <item m="1" x="3251"/>
        <item m="1" x="1047"/>
        <item m="1" x="1294"/>
        <item m="1" x="3732"/>
        <item m="1" x="4159"/>
        <item m="1" x="1328"/>
        <item m="1" x="2265"/>
        <item m="1" x="4039"/>
        <item m="1" x="2207"/>
        <item m="1" x="1250"/>
        <item m="1" x="2058"/>
        <item m="1" x="3478"/>
        <item x="248"/>
        <item m="1" x="982"/>
        <item x="35"/>
        <item m="1" x="1865"/>
        <item x="322"/>
        <item m="1" x="1418"/>
        <item x="591"/>
        <item m="1" x="1859"/>
        <item m="1" x="1534"/>
        <item m="1" x="4634"/>
        <item m="1" x="1095"/>
        <item m="1" x="4812"/>
        <item x="385"/>
        <item x="376"/>
        <item m="1" x="1579"/>
        <item x="408"/>
        <item m="1" x="2832"/>
        <item m="1" x="4983"/>
        <item m="1" x="675"/>
        <item x="42"/>
        <item m="1" x="1126"/>
        <item m="1" x="2750"/>
        <item m="1" x="3341"/>
        <item m="1" x="3882"/>
        <item x="234"/>
        <item m="1" x="4919"/>
        <item m="1" x="974"/>
        <item m="1" x="3005"/>
        <item m="1" x="918"/>
        <item m="1" x="3665"/>
        <item m="1" x="3476"/>
        <item m="1" x="752"/>
        <item m="1" x="1144"/>
        <item m="1" x="2835"/>
        <item m="1" x="3358"/>
        <item m="1" x="3779"/>
        <item m="1" x="1777"/>
        <item m="1" x="4030"/>
        <item m="1" x="2764"/>
        <item m="1" x="3475"/>
        <item m="1" x="2159"/>
        <item m="1" x="3116"/>
        <item m="1" x="4987"/>
        <item m="1" x="672"/>
        <item m="1" x="1572"/>
        <item m="1" x="3332"/>
        <item m="1" x="2865"/>
        <item m="1" x="938"/>
        <item m="1" x="942"/>
        <item x="463"/>
        <item m="1" x="979"/>
        <item m="1" x="2650"/>
        <item m="1" x="4330"/>
        <item m="1" x="1123"/>
        <item m="1" x="871"/>
        <item m="1" x="4356"/>
        <item m="1" x="716"/>
        <item m="1" x="4399"/>
        <item m="1" x="2483"/>
        <item x="598"/>
        <item m="1" x="684"/>
        <item m="1" x="3721"/>
        <item m="1" x="3281"/>
        <item m="1" x="4852"/>
        <item m="1" x="4676"/>
        <item m="1" x="3712"/>
        <item m="1" x="940"/>
        <item x="150"/>
        <item m="1" x="1313"/>
        <item m="1" x="873"/>
        <item m="1" x="4418"/>
        <item m="1" x="3273"/>
        <item m="1" x="3555"/>
        <item m="1" x="3511"/>
        <item m="1" x="1563"/>
        <item m="1" x="1537"/>
        <item x="79"/>
        <item m="1" x="4436"/>
        <item m="1" x="775"/>
        <item m="1" x="1334"/>
        <item m="1" x="1335"/>
        <item m="1" x="3897"/>
        <item m="1" x="4904"/>
        <item m="1" x="3258"/>
        <item m="1" x="1270"/>
        <item m="1" x="1539"/>
        <item x="340"/>
        <item m="1" x="749"/>
        <item m="1" x="3551"/>
        <item m="1" x="1156"/>
        <item x="375"/>
        <item m="1" x="4655"/>
        <item m="1" x="760"/>
        <item x="207"/>
        <item m="1" x="3535"/>
        <item m="1" x="4254"/>
        <item m="1" x="3207"/>
        <item m="1" x="2836"/>
        <item m="1" x="3480"/>
        <item m="1" x="2510"/>
        <item m="1" x="877"/>
        <item m="1" x="2225"/>
        <item m="1" x="2240"/>
        <item m="1" x="3444"/>
        <item m="1" x="2897"/>
        <item m="1" x="4712"/>
        <item m="1" x="1627"/>
        <item m="1" x="2368"/>
        <item m="1" x="859"/>
        <item m="1" x="3302"/>
        <item m="1" x="1354"/>
        <item m="1" x="1172"/>
        <item m="1" x="1864"/>
        <item m="1" x="3110"/>
        <item m="1" x="1675"/>
        <item x="64"/>
        <item m="1" x="1141"/>
        <item m="1" x="4948"/>
        <item m="1" x="2005"/>
        <item m="1" x="4234"/>
        <item m="1" x="1659"/>
        <item m="1" x="4774"/>
        <item m="1" x="4439"/>
        <item m="1" x="1223"/>
        <item m="1" x="2903"/>
        <item m="1" x="1346"/>
        <item m="1" x="629"/>
        <item m="1" x="3509"/>
        <item m="1" x="4408"/>
        <item m="1" x="3930"/>
        <item m="1" x="1511"/>
        <item m="1" x="1862"/>
        <item m="1" x="1623"/>
        <item m="1" x="1796"/>
        <item m="1" x="2785"/>
        <item m="1" x="2045"/>
        <item m="1" x="1676"/>
        <item m="1" x="650"/>
        <item m="1" x="1720"/>
        <item m="1" x="4731"/>
        <item m="1" x="2321"/>
        <item m="1" x="4261"/>
        <item m="1" x="4551"/>
        <item m="1" x="1751"/>
        <item m="1" x="4928"/>
        <item x="136"/>
        <item m="1" x="3492"/>
        <item m="1" x="4162"/>
        <item x="413"/>
        <item m="1" x="916"/>
        <item x="17"/>
        <item m="1" x="1970"/>
        <item m="1" x="1983"/>
        <item m="1" x="4043"/>
        <item m="1" x="2868"/>
        <item m="1" x="3194"/>
        <item m="1" x="2503"/>
        <item m="1" x="3710"/>
        <item m="1" x="3288"/>
        <item m="1" x="3495"/>
        <item m="1" x="4827"/>
        <item m="1" x="2570"/>
        <item m="1" x="4237"/>
        <item x="257"/>
        <item m="1" x="3761"/>
        <item m="1" x="4953"/>
        <item m="1" x="3352"/>
        <item m="1" x="3472"/>
        <item m="1" x="3614"/>
        <item x="205"/>
        <item m="1" x="1535"/>
        <item m="1" x="4790"/>
        <item m="1" x="1049"/>
        <item m="1" x="3915"/>
        <item m="1" x="1737"/>
        <item m="1" x="2157"/>
        <item x="307"/>
        <item m="1" x="930"/>
        <item x="78"/>
        <item m="1" x="4912"/>
        <item m="1" x="1013"/>
        <item m="1" x="706"/>
        <item m="1" x="827"/>
        <item m="1" x="4303"/>
        <item m="1" x="4778"/>
        <item m="1" x="4673"/>
        <item m="1" x="2833"/>
        <item m="1" x="1708"/>
        <item m="1" x="4054"/>
        <item m="1" x="1423"/>
        <item m="1" x="4055"/>
        <item x="378"/>
        <item x="551"/>
        <item m="1" x="2976"/>
        <item m="1" x="724"/>
        <item m="1" x="1443"/>
        <item m="1" x="3525"/>
        <item m="1" x="1330"/>
        <item m="1" x="2154"/>
        <item m="1" x="2173"/>
        <item m="1" x="2098"/>
        <item m="1" x="3858"/>
        <item m="1" x="3002"/>
        <item x="13"/>
        <item m="1" x="806"/>
        <item m="1" x="3677"/>
        <item m="1" x="3400"/>
        <item m="1" x="993"/>
        <item m="1" x="1337"/>
        <item m="1" x="2122"/>
        <item m="1" x="2638"/>
        <item m="1" x="2606"/>
        <item m="1" x="1403"/>
        <item x="517"/>
        <item m="1" x="2089"/>
        <item m="1" x="3452"/>
        <item m="1" x="811"/>
        <item m="1" x="1052"/>
        <item m="1" x="1170"/>
        <item m="1" x="3617"/>
        <item m="1" x="3969"/>
        <item m="1" x="3201"/>
        <item x="212"/>
        <item m="1" x="4164"/>
        <item m="1" x="631"/>
        <item m="1" x="3518"/>
        <item m="1" x="1728"/>
        <item m="1" x="1846"/>
        <item m="1" x="850"/>
        <item m="1" x="1568"/>
        <item m="1" x="1397"/>
        <item m="1" x="876"/>
        <item m="1" x="4719"/>
        <item m="1" x="1029"/>
        <item m="1" x="1119"/>
        <item m="1" x="2522"/>
        <item m="1" x="2776"/>
        <item m="1" x="1611"/>
        <item m="1" x="3757"/>
        <item m="1" x="634"/>
        <item m="1" x="4858"/>
        <item m="1" x="4446"/>
        <item m="1" x="705"/>
        <item m="1" x="2426"/>
        <item m="1" x="912"/>
        <item m="1" x="1094"/>
        <item m="1" x="3869"/>
        <item m="1" x="1153"/>
        <item m="1" x="3081"/>
        <item m="1" x="452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dataField="1" numFmtId="2" showAll="0"/>
    <pivotField axis="axisRow" showAll="0">
      <items count="28">
        <item x="0"/>
        <item x="23"/>
        <item x="8"/>
        <item x="15"/>
        <item x="3"/>
        <item x="24"/>
        <item x="10"/>
        <item x="25"/>
        <item x="21"/>
        <item x="7"/>
        <item x="2"/>
        <item x="11"/>
        <item x="5"/>
        <item x="20"/>
        <item x="22"/>
        <item x="19"/>
        <item m="1" x="26"/>
        <item x="16"/>
        <item x="1"/>
        <item x="13"/>
        <item x="14"/>
        <item x="12"/>
        <item x="4"/>
        <item x="18"/>
        <item x="9"/>
        <item x="6"/>
        <item x="17"/>
        <item t="default"/>
      </items>
    </pivotField>
    <pivotField dataField="1"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2">
    <field x="1"/>
    <field x="6"/>
  </rowFields>
  <rowItems count="31">
    <i>
      <x v="1737"/>
    </i>
    <i r="1">
      <x/>
    </i>
    <i>
      <x v="1742"/>
    </i>
    <i r="1">
      <x v="18"/>
    </i>
    <i>
      <x v="842"/>
    </i>
    <i r="1">
      <x v="10"/>
    </i>
    <i>
      <x v="2453"/>
    </i>
    <i r="1">
      <x v="4"/>
    </i>
    <i>
      <x v="3262"/>
    </i>
    <i r="1">
      <x v="22"/>
    </i>
    <i>
      <x v="791"/>
    </i>
    <i r="1">
      <x v="12"/>
    </i>
    <i>
      <x v="525"/>
    </i>
    <i r="1">
      <x v="4"/>
    </i>
    <i>
      <x v="1051"/>
    </i>
    <i r="1">
      <x v="25"/>
    </i>
    <i>
      <x v="3468"/>
    </i>
    <i r="1">
      <x v="12"/>
    </i>
    <i>
      <x v="3003"/>
    </i>
    <i r="1">
      <x/>
    </i>
    <i>
      <x v="3034"/>
    </i>
    <i r="1">
      <x v="4"/>
    </i>
    <i>
      <x v="4668"/>
    </i>
    <i r="1">
      <x v="18"/>
    </i>
    <i>
      <x v="3036"/>
    </i>
    <i r="1">
      <x v="10"/>
    </i>
    <i>
      <x v="4941"/>
    </i>
    <i r="1">
      <x v="9"/>
    </i>
    <i>
      <x v="2881"/>
    </i>
    <i r="1">
      <x/>
    </i>
    <i t="grand">
      <x/>
    </i>
  </rowItems>
  <colFields count="1">
    <field x="-2"/>
  </colFields>
  <colItems count="3">
    <i>
      <x/>
    </i>
    <i i="1">
      <x v="1"/>
    </i>
    <i i="2">
      <x v="2"/>
    </i>
  </colItems>
  <dataFields count="3">
    <dataField name="Sum of Growth_%" fld="5" baseField="0" baseItem="0" numFmtId="2"/>
    <dataField name="Sum of Workers" fld="7" baseField="0" baseItem="0"/>
    <dataField name="Sum of Revenue" fld="4" baseField="0" baseItem="0" numFmtId="165"/>
  </dataFields>
  <pivotTableStyleInfo name="PivotStyleLight16" showRowHeaders="1" showColHeaders="1" showRowStripes="0" showColStripes="0" showLastColumn="1"/>
  <filters count="1">
    <filter fld="1" type="valueGreaterThan" evalOrder="-1" id="6" iMeasureFld="0">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535008-8477-4469-8C2F-D5C7A37CC65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F46" firstHeaderRow="0" firstDataRow="1" firstDataCol="1"/>
  <pivotFields count="15">
    <pivotField showAll="0"/>
    <pivotField axis="axisRow" showAll="0" measureFilter="1" sortType="descending">
      <items count="4989">
        <item m="1" x="3682"/>
        <item m="1" x="4898"/>
        <item m="1" x="3650"/>
        <item m="1" x="735"/>
        <item m="1" x="4578"/>
        <item m="1" x="1366"/>
        <item x="68"/>
        <item m="1" x="1996"/>
        <item m="1" x="702"/>
        <item m="1" x="1669"/>
        <item m="1" x="4572"/>
        <item m="1" x="1256"/>
        <item x="181"/>
        <item m="1" x="3490"/>
        <item m="1" x="1278"/>
        <item m="1" x="4286"/>
        <item m="1" x="3935"/>
        <item m="1" x="4210"/>
        <item m="1" x="3941"/>
        <item m="1" x="1835"/>
        <item m="1" x="1004"/>
        <item m="1" x="4382"/>
        <item m="1" x="4918"/>
        <item m="1" x="1489"/>
        <item m="1" x="2100"/>
        <item m="1" x="4798"/>
        <item m="1" x="1318"/>
        <item m="1" x="4245"/>
        <item m="1" x="3884"/>
        <item m="1" x="971"/>
        <item m="1" x="3747"/>
        <item m="1" x="1142"/>
        <item m="1" x="4902"/>
        <item x="312"/>
        <item m="1" x="3004"/>
        <item m="1" x="3705"/>
        <item m="1" x="1797"/>
        <item m="1" x="1660"/>
        <item m="1" x="981"/>
        <item m="1" x="1436"/>
        <item m="1" x="4715"/>
        <item m="1" x="4533"/>
        <item m="1" x="3507"/>
        <item m="1" x="4704"/>
        <item m="1" x="4149"/>
        <item m="1" x="3532"/>
        <item m="1" x="4870"/>
        <item m="1" x="3697"/>
        <item x="69"/>
        <item m="1" x="3601"/>
        <item x="115"/>
        <item m="1" x="3591"/>
        <item m="1" x="1619"/>
        <item m="1" x="1684"/>
        <item m="1" x="632"/>
        <item m="1" x="1730"/>
        <item m="1" x="4796"/>
        <item m="1" x="1284"/>
        <item m="1" x="3695"/>
        <item m="1" x="3504"/>
        <item m="1" x="3736"/>
        <item m="1" x="4478"/>
        <item m="1" x="2203"/>
        <item m="1" x="3626"/>
        <item m="1" x="2546"/>
        <item m="1" x="2625"/>
        <item m="1" x="4522"/>
        <item m="1" x="1591"/>
        <item m="1" x="2436"/>
        <item m="1" x="3170"/>
        <item m="1" x="2312"/>
        <item m="1" x="1045"/>
        <item m="1" x="2711"/>
        <item m="1" x="3483"/>
        <item m="1" x="4546"/>
        <item m="1" x="4803"/>
        <item m="1" x="3822"/>
        <item m="1" x="3230"/>
        <item m="1" x="2969"/>
        <item m="1" x="3600"/>
        <item m="1" x="2386"/>
        <item m="1" x="2822"/>
        <item x="451"/>
        <item m="1" x="2199"/>
        <item m="1" x="2383"/>
        <item m="1" x="2153"/>
        <item m="1" x="3952"/>
        <item x="493"/>
        <item m="1" x="1634"/>
        <item m="1" x="4139"/>
        <item m="1" x="2090"/>
        <item m="1" x="3819"/>
        <item m="1" x="4641"/>
        <item m="1" x="3108"/>
        <item m="1" x="3995"/>
        <item m="1" x="4327"/>
        <item m="1" x="4698"/>
        <item m="1" x="4933"/>
        <item m="1" x="4232"/>
        <item m="1" x="1736"/>
        <item m="1" x="2502"/>
        <item m="1" x="2945"/>
        <item m="1" x="3322"/>
        <item m="1" x="3724"/>
        <item m="1" x="4083"/>
        <item m="1" x="1752"/>
        <item m="1" x="2306"/>
        <item m="1" x="694"/>
        <item m="1" x="2108"/>
        <item m="1" x="1417"/>
        <item m="1" x="4826"/>
        <item m="1" x="2834"/>
        <item m="1" x="4913"/>
        <item m="1" x="4735"/>
        <item m="1" x="3090"/>
        <item m="1" x="3115"/>
        <item m="1" x="718"/>
        <item m="1" x="4028"/>
        <item m="1" x="2390"/>
        <item x="167"/>
        <item m="1" x="2310"/>
        <item m="1" x="693"/>
        <item m="1" x="2254"/>
        <item m="1" x="3145"/>
        <item m="1" x="3978"/>
        <item m="1" x="783"/>
        <item m="1" x="4945"/>
        <item m="1" x="1844"/>
        <item x="359"/>
        <item m="1" x="4433"/>
        <item x="509"/>
        <item m="1" x="1424"/>
        <item m="1" x="2296"/>
        <item m="1" x="1893"/>
        <item m="1" x="3211"/>
        <item m="1" x="2552"/>
        <item m="1" x="3864"/>
        <item m="1" x="1851"/>
        <item m="1" x="1434"/>
        <item x="416"/>
        <item m="1" x="3659"/>
        <item m="1" x="1378"/>
        <item m="1" x="4462"/>
        <item m="1" x="983"/>
        <item m="1" x="4581"/>
        <item m="1" x="2920"/>
        <item m="1" x="2586"/>
        <item x="403"/>
        <item m="1" x="3066"/>
        <item m="1" x="4147"/>
        <item m="1" x="4048"/>
        <item m="1" x="4285"/>
        <item m="1" x="1380"/>
        <item m="1" x="1601"/>
        <item m="1" x="4969"/>
        <item m="1" x="1356"/>
        <item m="1" x="2447"/>
        <item m="1" x="4689"/>
        <item m="1" x="1713"/>
        <item x="423"/>
        <item m="1" x="4732"/>
        <item x="279"/>
        <item m="1" x="614"/>
        <item x="198"/>
        <item m="1" x="2663"/>
        <item m="1" x="4044"/>
        <item m="1" x="4494"/>
        <item m="1" x="1524"/>
        <item m="1" x="2417"/>
        <item m="1" x="3484"/>
        <item m="1" x="1369"/>
        <item m="1" x="2734"/>
        <item m="1" x="3412"/>
        <item m="1" x="1197"/>
        <item m="1" x="3062"/>
        <item m="1" x="2463"/>
        <item m="1" x="1800"/>
        <item m="1" x="2639"/>
        <item m="1" x="2477"/>
        <item m="1" x="1529"/>
        <item m="1" x="1458"/>
        <item m="1" x="1083"/>
        <item m="1" x="1242"/>
        <item m="1" x="2128"/>
        <item m="1" x="2369"/>
        <item m="1" x="4899"/>
        <item m="1" x="4435"/>
        <item m="1" x="2981"/>
        <item m="1" x="3630"/>
        <item m="1" x="2577"/>
        <item m="1" x="2326"/>
        <item m="1" x="1873"/>
        <item m="1" x="646"/>
        <item m="1" x="4163"/>
        <item m="1" x="1078"/>
        <item m="1" x="4838"/>
        <item m="1" x="3948"/>
        <item m="1" x="2341"/>
        <item m="1" x="4392"/>
        <item m="1" x="2242"/>
        <item x="152"/>
        <item m="1" x="4198"/>
        <item m="1" x="3268"/>
        <item m="1" x="2799"/>
        <item m="1" x="628"/>
        <item m="1" x="1279"/>
        <item x="539"/>
        <item m="1" x="3133"/>
        <item x="283"/>
        <item x="446"/>
        <item m="1" x="2410"/>
        <item m="1" x="1338"/>
        <item m="1" x="1891"/>
        <item m="1" x="3003"/>
        <item m="1" x="3861"/>
        <item m="1" x="1167"/>
        <item x="298"/>
        <item x="467"/>
        <item m="1" x="1646"/>
        <item m="1" x="2714"/>
        <item m="1" x="4052"/>
        <item m="1" x="2474"/>
        <item m="1" x="3282"/>
        <item m="1" x="2021"/>
        <item m="1" x="3144"/>
        <item m="1" x="3208"/>
        <item m="1" x="2746"/>
        <item m="1" x="4531"/>
        <item m="1" x="4878"/>
        <item x="39"/>
        <item m="1" x="3023"/>
        <item m="1" x="978"/>
        <item m="1" x="4956"/>
        <item m="1" x="3244"/>
        <item m="1" x="2006"/>
        <item m="1" x="4280"/>
        <item m="1" x="4067"/>
        <item m="1" x="3054"/>
        <item x="575"/>
        <item m="1" x="1935"/>
        <item m="1" x="3569"/>
        <item x="119"/>
        <item m="1" x="3440"/>
        <item m="1" x="3741"/>
        <item x="142"/>
        <item m="1" x="2904"/>
        <item m="1" x="2958"/>
        <item m="1" x="1758"/>
        <item x="576"/>
        <item m="1" x="3876"/>
        <item m="1" x="3668"/>
        <item m="1" x="3827"/>
        <item m="1" x="1802"/>
        <item m="1" x="3755"/>
        <item m="1" x="4226"/>
        <item m="1" x="3219"/>
        <item m="1" x="2797"/>
        <item x="292"/>
        <item m="1" x="1042"/>
        <item m="1" x="3613"/>
        <item m="1" x="2464"/>
        <item m="1" x="4501"/>
        <item x="96"/>
        <item m="1" x="3368"/>
        <item m="1" x="897"/>
        <item m="1" x="4880"/>
        <item m="1" x="1725"/>
        <item m="1" x="2899"/>
        <item m="1" x="4661"/>
        <item m="1" x="977"/>
        <item m="1" x="4947"/>
        <item m="1" x="4832"/>
        <item m="1" x="4979"/>
        <item m="1" x="4958"/>
        <item m="1" x="3411"/>
        <item m="1" x="4620"/>
        <item m="1" x="2088"/>
        <item m="1" x="4583"/>
        <item m="1" x="771"/>
        <item m="1" x="2877"/>
        <item m="1" x="818"/>
        <item m="1" x="3390"/>
        <item x="27"/>
        <item m="1" x="2318"/>
        <item m="1" x="1420"/>
        <item m="1" x="2406"/>
        <item m="1" x="1496"/>
        <item m="1" x="1192"/>
        <item m="1" x="3337"/>
        <item m="1" x="1236"/>
        <item m="1" x="3592"/>
        <item m="1" x="2498"/>
        <item m="1" x="3906"/>
        <item m="1" x="3974"/>
        <item m="1" x="4180"/>
        <item m="1" x="757"/>
        <item x="15"/>
        <item m="1" x="891"/>
        <item m="1" x="2514"/>
        <item m="1" x="1441"/>
        <item m="1" x="4787"/>
        <item x="459"/>
        <item m="1" x="4556"/>
        <item x="401"/>
        <item m="1" x="4664"/>
        <item m="1" x="4008"/>
        <item m="1" x="2399"/>
        <item m="1" x="3428"/>
        <item x="582"/>
        <item x="587"/>
        <item m="1" x="4694"/>
        <item m="1" x="2587"/>
        <item m="1" x="3862"/>
        <item m="1" x="2434"/>
        <item m="1" x="973"/>
        <item m="1" x="1102"/>
        <item m="1" x="1478"/>
        <item m="1" x="664"/>
        <item m="1" x="4187"/>
        <item m="1" x="2102"/>
        <item m="1" x="3657"/>
        <item m="1" x="4576"/>
        <item m="1" x="1823"/>
        <item m="1" x="3892"/>
        <item m="1" x="2979"/>
        <item x="398"/>
        <item m="1" x="3389"/>
        <item m="1" x="847"/>
        <item m="1" x="4220"/>
        <item m="1" x="3598"/>
        <item m="1" x="1019"/>
        <item m="1" x="4098"/>
        <item m="1" x="4729"/>
        <item m="1" x="1850"/>
        <item m="1" x="2775"/>
        <item m="1" x="4273"/>
        <item m="1" x="2770"/>
        <item m="1" x="3335"/>
        <item m="1" x="2719"/>
        <item m="1" x="2567"/>
        <item m="1" x="729"/>
        <item m="1" x="1008"/>
        <item m="1" x="2801"/>
        <item m="1" x="2019"/>
        <item m="1" x="3077"/>
        <item m="1" x="3314"/>
        <item m="1" x="3000"/>
        <item m="1" x="3647"/>
        <item m="1" x="1283"/>
        <item m="1" x="2828"/>
        <item x="148"/>
        <item m="1" x="1271"/>
        <item m="1" x="3199"/>
        <item m="1" x="3965"/>
        <item m="1" x="3303"/>
        <item m="1" x="3606"/>
        <item m="1" x="4113"/>
        <item m="1" x="2487"/>
        <item m="1" x="3294"/>
        <item m="1" x="3284"/>
        <item x="331"/>
        <item m="1" x="1560"/>
        <item m="1" x="4288"/>
        <item m="1" x="680"/>
        <item m="1" x="4635"/>
        <item m="1" x="4875"/>
        <item m="1" x="3228"/>
        <item m="1" x="2308"/>
        <item m="1" x="1766"/>
        <item m="1" x="3628"/>
        <item m="1" x="2387"/>
        <item m="1" x="4214"/>
        <item x="460"/>
        <item m="1" x="2202"/>
        <item m="1" x="4811"/>
        <item x="411"/>
        <item x="143"/>
        <item m="1" x="4723"/>
        <item m="1" x="1691"/>
        <item m="1" x="4585"/>
        <item m="1" x="2234"/>
        <item m="1" x="2211"/>
        <item m="1" x="1349"/>
        <item m="1" x="4535"/>
        <item m="1" x="1392"/>
        <item m="1" x="4302"/>
        <item x="563"/>
        <item m="1" x="3347"/>
        <item m="1" x="3318"/>
        <item m="1" x="2730"/>
        <item m="1" x="3177"/>
        <item m="1" x="2533"/>
        <item m="1" x="3320"/>
        <item x="82"/>
        <item m="1" x="1817"/>
        <item m="1" x="3255"/>
        <item x="66"/>
        <item m="1" x="1384"/>
        <item x="434"/>
        <item m="1" x="3222"/>
        <item m="1" x="4557"/>
        <item m="1" x="4483"/>
        <item m="1" x="4701"/>
        <item m="1" x="2379"/>
        <item m="1" x="2356"/>
        <item m="1" x="4034"/>
        <item m="1" x="4129"/>
        <item m="1" x="991"/>
        <item m="1" x="4561"/>
        <item m="1" x="2540"/>
        <item m="1" x="4203"/>
        <item m="1" x="3198"/>
        <item m="1" x="3764"/>
        <item m="1" x="1486"/>
        <item m="1" x="2415"/>
        <item m="1" x="1488"/>
        <item m="1" x="3687"/>
        <item m="1" x="4936"/>
        <item m="1" x="968"/>
        <item x="414"/>
        <item m="1" x="4903"/>
        <item m="1" x="1573"/>
        <item m="1" x="1336"/>
        <item m="1" x="682"/>
        <item m="1" x="2144"/>
        <item m="1" x="3844"/>
        <item m="1" x="2060"/>
        <item x="112"/>
        <item m="1" x="4240"/>
        <item m="1" x="3802"/>
        <item m="1" x="2170"/>
        <item m="1" x="3921"/>
        <item m="1" x="1077"/>
        <item m="1" x="1520"/>
        <item m="1" x="1460"/>
        <item m="1" x="3076"/>
        <item m="1" x="3241"/>
        <item m="1" x="1710"/>
        <item m="1" x="1092"/>
        <item m="1" x="1858"/>
        <item m="1" x="2641"/>
        <item x="227"/>
        <item m="1" x="2943"/>
        <item m="1" x="4910"/>
        <item m="1" x="3233"/>
        <item m="1" x="4490"/>
        <item m="1" x="2244"/>
        <item m="1" x="3231"/>
        <item m="1" x="738"/>
        <item m="1" x="3636"/>
        <item m="1" x="4560"/>
        <item m="1" x="4605"/>
        <item m="1" x="1139"/>
        <item x="24"/>
        <item m="1" x="1625"/>
        <item m="1" x="2486"/>
        <item m="1" x="769"/>
        <item m="1" x="2954"/>
        <item m="1" x="1082"/>
        <item x="200"/>
        <item m="1" x="3572"/>
        <item m="1" x="3086"/>
        <item m="1" x="1117"/>
        <item m="1" x="1372"/>
        <item x="431"/>
        <item m="1" x="2290"/>
        <item x="597"/>
        <item m="1" x="4495"/>
        <item m="1" x="4484"/>
        <item x="352"/>
        <item m="1" x="875"/>
        <item m="1" x="2692"/>
        <item m="1" x="1545"/>
        <item m="1" x="4194"/>
        <item x="108"/>
        <item m="1" x="1483"/>
        <item m="1" x="1985"/>
        <item m="1" x="2031"/>
        <item m="1" x="3235"/>
        <item m="1" x="3843"/>
        <item m="1" x="1816"/>
        <item x="426"/>
        <item x="559"/>
        <item m="1" x="1806"/>
        <item m="1" x="3385"/>
        <item m="1" x="4178"/>
        <item x="120"/>
        <item m="1" x="3171"/>
        <item m="1" x="4938"/>
        <item m="1" x="1889"/>
        <item m="1" x="1290"/>
        <item m="1" x="3777"/>
        <item m="1" x="2791"/>
        <item m="1" x="1622"/>
        <item m="1" x="966"/>
        <item m="1" x="4808"/>
        <item m="1" x="4292"/>
        <item m="1" x="2584"/>
        <item m="1" x="1118"/>
        <item m="1" x="4038"/>
        <item m="1" x="1847"/>
        <item m="1" x="865"/>
        <item x="310"/>
        <item m="1" x="3562"/>
        <item m="1" x="4480"/>
        <item m="1" x="4835"/>
        <item m="1" x="1210"/>
        <item m="1" x="2380"/>
        <item x="254"/>
        <item m="1" x="3029"/>
        <item m="1" x="3032"/>
        <item x="522"/>
        <item x="550"/>
        <item m="1" x="2623"/>
        <item m="1" x="2846"/>
        <item m="1" x="2673"/>
        <item m="1" x="3686"/>
        <item x="439"/>
        <item m="1" x="2482"/>
        <item m="1" x="2693"/>
        <item m="1" x="1854"/>
        <item m="1" x="676"/>
        <item m="1" x="4118"/>
        <item m="1" x="802"/>
        <item m="1" x="3051"/>
        <item x="6"/>
        <item m="1" x="2101"/>
        <item m="1" x="813"/>
        <item m="1" x="1093"/>
        <item x="525"/>
        <item m="1" x="1143"/>
        <item m="1" x="808"/>
        <item m="1" x="4281"/>
        <item m="1" x="3889"/>
        <item m="1" x="1597"/>
        <item m="1" x="2245"/>
        <item m="1" x="2653"/>
        <item m="1" x="1386"/>
        <item m="1" x="3252"/>
        <item m="1" x="988"/>
        <item m="1" x="933"/>
        <item x="45"/>
        <item m="1" x="1165"/>
        <item m="1" x="2518"/>
        <item m="1" x="2537"/>
        <item m="1" x="2841"/>
        <item m="1" x="2229"/>
        <item m="1" x="1958"/>
        <item m="1" x="4728"/>
        <item m="1" x="1218"/>
        <item m="1" x="4670"/>
        <item m="1" x="3192"/>
        <item x="29"/>
        <item m="1" x="1871"/>
        <item x="303"/>
        <item m="1" x="2050"/>
        <item m="1" x="1945"/>
        <item m="1" x="4188"/>
        <item m="1" x="2191"/>
        <item m="1" x="4497"/>
        <item m="1" x="2702"/>
        <item m="1" x="1575"/>
        <item m="1" x="2814"/>
        <item m="1" x="3855"/>
        <item m="1" x="1065"/>
        <item x="316"/>
        <item m="1" x="963"/>
        <item m="1" x="2642"/>
        <item m="1" x="2854"/>
        <item m="1" x="1015"/>
        <item m="1" x="4040"/>
        <item m="1" x="1744"/>
        <item m="1" x="3726"/>
        <item m="1" x="3709"/>
        <item x="339"/>
        <item m="1" x="1875"/>
        <item m="1" x="4420"/>
        <item m="1" x="2010"/>
        <item m="1" x="1637"/>
        <item m="1" x="1148"/>
        <item m="1" x="1343"/>
        <item m="1" x="4108"/>
        <item m="1" x="1584"/>
        <item m="1" x="3774"/>
        <item m="1" x="2043"/>
        <item m="1" x="1268"/>
        <item m="1" x="2297"/>
        <item m="1" x="3459"/>
        <item m="1" x="864"/>
        <item m="1" x="3456"/>
        <item m="1" x="1362"/>
        <item m="1" x="3250"/>
        <item m="1" x="1967"/>
        <item m="1" x="1804"/>
        <item m="1" x="2722"/>
        <item m="1" x="3312"/>
        <item m="1" x="4597"/>
        <item m="1" x="1470"/>
        <item m="1" x="2886"/>
        <item m="1" x="4213"/>
        <item m="1" x="2531"/>
        <item m="1" x="3437"/>
        <item m="1" x="4831"/>
        <item m="1" x="4515"/>
        <item m="1" x="1203"/>
        <item m="1" x="1879"/>
        <item m="1" x="4724"/>
        <item m="1" x="4193"/>
        <item x="599"/>
        <item m="1" x="1515"/>
        <item m="1" x="3903"/>
        <item m="1" x="821"/>
        <item m="1" x="1432"/>
        <item m="1" x="2655"/>
        <item m="1" x="4318"/>
        <item m="1" x="792"/>
        <item m="1" x="3958"/>
        <item x="507"/>
        <item x="328"/>
        <item m="1" x="1514"/>
        <item m="1" x="4406"/>
        <item m="1" x="2735"/>
        <item m="1" x="3528"/>
        <item m="1" x="1140"/>
        <item m="1" x="2142"/>
        <item m="1" x="4917"/>
        <item m="1" x="742"/>
        <item m="1" x="893"/>
        <item m="1" x="3128"/>
        <item m="1" x="3703"/>
        <item m="1" x="4105"/>
        <item m="1" x="3261"/>
        <item x="84"/>
        <item m="1" x="1276"/>
        <item x="583"/>
        <item m="1" x="4395"/>
        <item x="256"/>
        <item m="1" x="1982"/>
        <item m="1" x="2511"/>
        <item m="1" x="4135"/>
        <item m="1" x="1138"/>
        <item m="1" x="828"/>
        <item m="1" x="1463"/>
        <item m="1" x="1869"/>
        <item m="1" x="1072"/>
        <item x="130"/>
        <item m="1" x="1845"/>
        <item m="1" x="4465"/>
        <item m="1" x="4313"/>
        <item m="1" x="943"/>
        <item x="485"/>
        <item m="1" x="4518"/>
        <item m="1" x="643"/>
        <item m="1" x="2749"/>
        <item m="1" x="2336"/>
        <item m="1" x="4242"/>
        <item m="1" x="2198"/>
        <item m="1" x="4208"/>
        <item m="1" x="826"/>
        <item m="1" x="4877"/>
        <item m="1" x="3269"/>
        <item m="1" x="2330"/>
        <item m="1" x="2935"/>
        <item m="1" x="846"/>
        <item m="1" x="2685"/>
        <item m="1" x="1786"/>
        <item x="164"/>
        <item m="1" x="996"/>
        <item m="1" x="845"/>
        <item x="480"/>
        <item m="1" x="2209"/>
        <item x="210"/>
        <item m="1" x="1374"/>
        <item m="1" x="1894"/>
        <item x="421"/>
        <item m="1" x="1479"/>
        <item m="1" x="2885"/>
        <item m="1" x="3989"/>
        <item x="400"/>
        <item m="1" x="626"/>
        <item m="1" x="2652"/>
        <item m="1" x="3545"/>
        <item m="1" x="4752"/>
        <item m="1" x="641"/>
        <item m="1" x="4469"/>
        <item m="1" x="2792"/>
        <item m="1" x="1561"/>
        <item m="1" x="2802"/>
        <item x="374"/>
        <item m="1" x="2348"/>
        <item x="588"/>
        <item m="1" x="1721"/>
        <item m="1" x="3417"/>
        <item m="1" x="784"/>
        <item m="1" x="2215"/>
        <item m="1" x="3343"/>
        <item m="1" x="1920"/>
        <item m="1" x="2329"/>
        <item m="1" x="4114"/>
        <item m="1" x="1400"/>
        <item m="1" x="1001"/>
        <item m="1" x="4671"/>
        <item x="577"/>
        <item m="1" x="1060"/>
        <item m="1" x="4582"/>
        <item m="1" x="4610"/>
        <item x="75"/>
        <item x="190"/>
        <item m="1" x="2145"/>
        <item m="1" x="4688"/>
        <item m="1" x="3246"/>
        <item x="420"/>
        <item x="249"/>
        <item m="1" x="2138"/>
        <item m="1" x="4359"/>
        <item m="1" x="4017"/>
        <item m="1" x="2132"/>
        <item x="154"/>
        <item m="1" x="3053"/>
        <item m="1" x="4274"/>
        <item m="1" x="2382"/>
        <item m="1" x="928"/>
        <item m="1" x="1717"/>
        <item m="1" x="1300"/>
        <item m="1" x="732"/>
        <item m="1" x="3305"/>
        <item m="1" x="2769"/>
        <item m="1" x="2472"/>
        <item x="224"/>
        <item m="1" x="2640"/>
        <item m="1" x="4029"/>
        <item m="1" x="1934"/>
        <item m="1" x="1565"/>
        <item m="1" x="2873"/>
        <item m="1" x="1955"/>
        <item m="1" x="4754"/>
        <item m="1" x="2839"/>
        <item m="1" x="2137"/>
        <item x="443"/>
        <item m="1" x="3225"/>
        <item m="1" x="3289"/>
        <item m="1" x="3804"/>
        <item m="1" x="3227"/>
        <item m="1" x="1124"/>
        <item m="1" x="2512"/>
        <item m="1" x="3124"/>
        <item m="1" x="3243"/>
        <item m="1" x="921"/>
        <item m="1" x="3945"/>
        <item m="1" x="4335"/>
        <item m="1" x="3010"/>
        <item m="1" x="3065"/>
        <item m="1" x="3340"/>
        <item m="1" x="627"/>
        <item m="1" x="4672"/>
        <item m="1" x="2592"/>
        <item m="1" x="3938"/>
        <item m="1" x="2947"/>
        <item x="106"/>
        <item m="1" x="4137"/>
        <item m="1" x="674"/>
        <item m="1" x="1239"/>
        <item m="1" x="4595"/>
        <item m="1" x="3939"/>
        <item m="1" x="2419"/>
        <item m="1" x="4235"/>
        <item m="1" x="3533"/>
        <item m="1" x="3160"/>
        <item m="1" x="4027"/>
        <item m="1" x="3441"/>
        <item m="1" x="2389"/>
        <item m="1" x="2197"/>
        <item m="1" x="1892"/>
        <item m="1" x="2601"/>
        <item m="1" x="2837"/>
        <item m="1" x="2893"/>
        <item m="1" x="4100"/>
        <item m="1" x="1340"/>
        <item m="1" x="1635"/>
        <item m="1" x="1079"/>
        <item m="1" x="1323"/>
        <item m="1" x="1698"/>
        <item m="1" x="3111"/>
        <item m="1" x="2723"/>
        <item m="1" x="1628"/>
        <item m="1" x="3543"/>
        <item x="174"/>
        <item m="1" x="1070"/>
        <item m="1" x="3873"/>
        <item m="1" x="4377"/>
        <item m="1" x="4059"/>
        <item x="5"/>
        <item m="1" x="700"/>
        <item m="1" x="2843"/>
        <item m="1" x="1928"/>
        <item m="1" x="2513"/>
        <item m="1" x="4792"/>
        <item m="1" x="1347"/>
        <item m="1" x="2277"/>
        <item m="1" x="2035"/>
        <item x="144"/>
        <item m="1" x="3846"/>
        <item m="1" x="2575"/>
        <item m="1" x="4182"/>
        <item m="1" x="1387"/>
        <item x="91"/>
        <item m="1" x="2610"/>
        <item m="1" x="4341"/>
        <item m="1" x="2026"/>
        <item m="1" x="4169"/>
        <item m="1" x="688"/>
        <item m="1" x="2179"/>
        <item m="1" x="3854"/>
        <item m="1" x="2325"/>
        <item m="1" x="3702"/>
        <item m="1" x="3607"/>
        <item m="1" x="908"/>
        <item m="1" x="4685"/>
        <item m="1" x="2968"/>
        <item m="1" x="1780"/>
        <item m="1" x="2553"/>
        <item m="1" x="4764"/>
        <item m="1" x="2459"/>
        <item m="1" x="4339"/>
        <item x="433"/>
        <item m="1" x="1965"/>
        <item m="1" x="603"/>
        <item m="1" x="4666"/>
        <item m="1" x="4663"/>
        <item m="1" x="848"/>
        <item m="1" x="1235"/>
        <item m="1" x="3450"/>
        <item m="1" x="3594"/>
        <item x="349"/>
        <item m="1" x="2267"/>
        <item m="1" x="4813"/>
        <item m="1" x="3810"/>
        <item m="1" x="1160"/>
        <item m="1" x="3296"/>
        <item m="1" x="2103"/>
        <item m="1" x="1972"/>
        <item m="1" x="4001"/>
        <item x="2"/>
        <item x="505"/>
        <item x="132"/>
        <item m="1" x="4046"/>
        <item x="131"/>
        <item m="1" x="1442"/>
        <item m="1" x="2811"/>
        <item m="1" x="1233"/>
        <item m="1" x="1902"/>
        <item m="1" x="2025"/>
        <item m="1" x="902"/>
        <item m="1" x="4138"/>
        <item m="1" x="4941"/>
        <item m="1" x="3185"/>
        <item m="1" x="4781"/>
        <item m="1" x="1034"/>
        <item m="1" x="2251"/>
        <item m="1" x="3381"/>
        <item m="1" x="3734"/>
        <item m="1" x="1116"/>
        <item m="1" x="3651"/>
        <item m="1" x="4756"/>
        <item m="1" x="1295"/>
        <item m="1" x="2111"/>
        <item m="1" x="2439"/>
        <item m="1" x="870"/>
        <item m="1" x="816"/>
        <item m="1" x="3632"/>
        <item x="461"/>
        <item m="1" x="922"/>
        <item m="1" x="2602"/>
        <item m="1" x="2057"/>
        <item m="1" x="1017"/>
        <item m="1" x="3742"/>
        <item x="327"/>
        <item m="1" x="866"/>
        <item m="1" x="1081"/>
        <item m="1" x="960"/>
        <item m="1" x="2499"/>
        <item m="1" x="3539"/>
        <item m="1" x="4269"/>
        <item m="1" x="3895"/>
        <item m="1" x="3565"/>
        <item x="277"/>
        <item m="1" x="1663"/>
        <item m="1" x="3693"/>
        <item m="1" x="3354"/>
        <item m="1" x="2993"/>
        <item m="1" x="936"/>
        <item m="1" x="1018"/>
        <item m="1" x="3091"/>
        <item m="1" x="1477"/>
        <item m="1" x="2616"/>
        <item m="1" x="4096"/>
        <item m="1" x="4109"/>
        <item m="1" x="2079"/>
        <item m="1" x="2827"/>
        <item x="129"/>
        <item m="1" x="605"/>
        <item m="1" x="2745"/>
        <item x="61"/>
        <item m="1" x="984"/>
        <item m="1" x="4824"/>
        <item m="1" x="3058"/>
        <item m="1" x="692"/>
        <item x="251"/>
        <item m="1" x="2860"/>
        <item m="1" x="990"/>
        <item x="111"/>
        <item m="1" x="3151"/>
        <item m="1" x="2565"/>
        <item m="1" x="616"/>
        <item m="1" x="2773"/>
        <item m="1" x="755"/>
        <item m="1" x="2167"/>
        <item m="1" x="3078"/>
        <item m="1" x="1333"/>
        <item m="1" x="1570"/>
        <item m="1" x="1469"/>
        <item x="88"/>
        <item m="1" x="3063"/>
        <item x="206"/>
        <item m="1" x="4085"/>
        <item m="1" x="3975"/>
        <item x="65"/>
        <item m="1" x="4897"/>
        <item m="1" x="4183"/>
        <item m="1" x="4896"/>
        <item m="1" x="3027"/>
        <item m="1" x="4328"/>
        <item m="1" x="4784"/>
        <item m="1" x="4019"/>
        <item m="1" x="4761"/>
        <item m="1" x="2732"/>
        <item m="1" x="3147"/>
        <item m="1" x="4438"/>
        <item m="1" x="3148"/>
        <item m="1" x="4914"/>
        <item m="1" x="3292"/>
        <item m="1" x="3505"/>
        <item x="429"/>
        <item m="1" x="4378"/>
        <item m="1" x="2830"/>
        <item m="1" x="3767"/>
        <item m="1" x="855"/>
        <item m="1" x="1898"/>
        <item m="1" x="2545"/>
        <item m="1" x="3684"/>
        <item m="1" x="4957"/>
        <item m="1" x="2268"/>
        <item m="1" x="1150"/>
        <item m="1" x="4063"/>
        <item m="1" x="2796"/>
        <item x="438"/>
        <item m="1" x="4654"/>
        <item m="1" x="2301"/>
        <item m="1" x="3648"/>
        <item m="1" x="909"/>
        <item m="1" x="3950"/>
        <item m="1" x="3422"/>
        <item x="237"/>
        <item m="1" x="1390"/>
        <item m="1" x="3218"/>
        <item m="1" x="4091"/>
        <item m="1" x="1174"/>
        <item x="321"/>
        <item m="1" x="1000"/>
        <item x="593"/>
        <item m="1" x="3324"/>
        <item m="1" x="2176"/>
        <item m="1" x="2273"/>
        <item m="1" x="793"/>
        <item m="1" x="2022"/>
        <item m="1" x="1590"/>
        <item m="1" x="4817"/>
        <item m="1" x="772"/>
        <item m="1" x="2535"/>
        <item m="1" x="3655"/>
        <item m="1" x="754"/>
        <item x="228"/>
        <item m="1" x="3879"/>
        <item m="1" x="636"/>
        <item m="1" x="3365"/>
        <item m="1" x="2151"/>
        <item m="1" x="3409"/>
        <item m="1" x="1951"/>
        <item m="1" x="4389"/>
        <item m="1" x="3701"/>
        <item m="1" x="3137"/>
        <item m="1" x="2200"/>
        <item m="1" x="3904"/>
        <item m="1" x="4277"/>
        <item m="1" x="1431"/>
        <item m="1" x="951"/>
        <item m="1" x="2457"/>
        <item m="1" x="2805"/>
        <item m="1" x="4943"/>
        <item x="107"/>
        <item m="1" x="2052"/>
        <item m="1" x="3106"/>
        <item m="1" x="3816"/>
        <item m="1" x="659"/>
        <item m="1" x="3326"/>
        <item m="1" x="4833"/>
        <item m="1" x="2343"/>
        <item m="1" x="3350"/>
        <item m="1" x="2977"/>
        <item m="1" x="2344"/>
        <item m="1" x="4391"/>
        <item m="1" x="2687"/>
        <item m="1" x="1131"/>
        <item m="1" x="2626"/>
        <item m="1" x="1171"/>
        <item x="314"/>
        <item m="1" x="3420"/>
        <item m="1" x="4574"/>
        <item m="1" x="4839"/>
        <item m="1" x="4152"/>
        <item m="1" x="1277"/>
        <item m="1" x="4662"/>
        <item x="320"/>
        <item m="1" x="2427"/>
        <item m="1" x="4175"/>
        <item m="1" x="4520"/>
        <item m="1" x="2566"/>
        <item m="1" x="3072"/>
        <item x="441"/>
        <item m="1" x="3169"/>
        <item m="1" x="1368"/>
        <item x="162"/>
        <item m="1" x="4090"/>
        <item m="1" x="4397"/>
        <item m="1" x="4075"/>
        <item m="1" x="4340"/>
        <item m="1" x="3797"/>
        <item m="1" x="3204"/>
        <item m="1" x="2781"/>
        <item m="1" x="4849"/>
        <item m="1" x="4421"/>
        <item m="1" x="687"/>
        <item m="1" x="3620"/>
        <item m="1" x="3357"/>
        <item x="546"/>
        <item m="1" x="4071"/>
        <item x="80"/>
        <item m="1" x="3690"/>
        <item x="506"/>
        <item m="1" x="3964"/>
        <item m="1" x="1128"/>
        <item x="7"/>
        <item m="1" x="3980"/>
        <item m="1" x="4457"/>
        <item m="1" x="2916"/>
        <item m="1" x="4453"/>
        <item m="1" x="2400"/>
        <item m="1" x="1355"/>
        <item m="1" x="1926"/>
        <item m="1" x="2099"/>
        <item m="1" x="3946"/>
        <item m="1" x="4481"/>
        <item m="1" x="4667"/>
        <item m="1" x="4266"/>
        <item m="1" x="4802"/>
        <item m="1" x="1129"/>
        <item m="1" x="1636"/>
        <item m="1" x="2375"/>
        <item m="1" x="1686"/>
        <item m="1" x="3068"/>
        <item m="1" x="2213"/>
        <item m="1" x="4070"/>
        <item m="1" x="3519"/>
        <item m="1" x="3920"/>
        <item m="1" x="2465"/>
        <item m="1" x="2381"/>
        <item m="1" x="4538"/>
        <item m="1" x="3260"/>
        <item m="1" x="2473"/>
        <item m="1" x="1942"/>
        <item x="585"/>
        <item m="1" x="878"/>
        <item m="1" x="3319"/>
        <item x="22"/>
        <item m="1" x="3927"/>
        <item m="1" x="3224"/>
        <item m="1" x="4279"/>
        <item m="1" x="1538"/>
        <item m="1" x="3674"/>
        <item m="1" x="3740"/>
        <item m="1" x="1714"/>
        <item x="114"/>
        <item m="1" x="3570"/>
        <item m="1" x="4311"/>
        <item m="1" x="2475"/>
        <item m="1" x="1108"/>
        <item m="1" x="3156"/>
        <item x="73"/>
        <item m="1" x="4692"/>
        <item m="1" x="3669"/>
        <item m="1" x="4950"/>
        <item m="1" x="1213"/>
        <item m="1" x="1700"/>
        <item m="1" x="3673"/>
        <item m="1" x="4058"/>
        <item m="1" x="3891"/>
        <item m="1" x="4470"/>
        <item m="1" x="1655"/>
        <item m="1" x="2786"/>
        <item m="1" x="1554"/>
        <item m="1" x="4092"/>
        <item m="1" x="841"/>
        <item m="1" x="1784"/>
        <item x="389"/>
        <item m="1" x="4485"/>
        <item x="501"/>
        <item m="1" x="1837"/>
        <item x="410"/>
        <item m="1" x="1009"/>
        <item m="1" x="4765"/>
        <item x="301"/>
        <item m="1" x="4337"/>
        <item x="365"/>
        <item m="1" x="1937"/>
        <item m="1" x="3942"/>
        <item m="1" x="4312"/>
        <item m="1" x="1212"/>
        <item m="1" x="4860"/>
        <item m="1" x="2189"/>
        <item m="1" x="2557"/>
        <item x="382"/>
        <item m="1" x="4171"/>
        <item m="1" x="1767"/>
        <item m="1" x="2485"/>
        <item m="1" x="1578"/>
        <item m="1" x="3979"/>
        <item m="1" x="1853"/>
        <item m="1" x="1261"/>
        <item m="1" x="1091"/>
        <item m="1" x="4131"/>
        <item m="1" x="4586"/>
        <item m="1" x="3558"/>
        <item m="1" x="3019"/>
        <item m="1" x="1258"/>
        <item m="1" x="986"/>
        <item x="305"/>
        <item m="1" x="2607"/>
        <item m="1" x="1445"/>
        <item m="1" x="4448"/>
        <item m="1" x="856"/>
        <item m="1" x="4176"/>
        <item m="1" x="3830"/>
        <item m="1" x="3366"/>
        <item m="1" x="4267"/>
        <item m="1" x="1987"/>
        <item m="1" x="884"/>
        <item m="1" x="726"/>
        <item m="1" x="4320"/>
        <item m="1" x="4743"/>
        <item m="1" x="1877"/>
        <item m="1" x="1299"/>
        <item m="1" x="2740"/>
        <item m="1" x="1251"/>
        <item m="1" x="3529"/>
        <item m="1" x="2891"/>
        <item m="1" x="4566"/>
        <item m="1" x="2133"/>
        <item m="1" x="661"/>
        <item m="1" x="2292"/>
        <item m="1" x="3787"/>
        <item m="1" x="2984"/>
        <item m="1" x="3971"/>
        <item m="1" x="2061"/>
        <item m="1" x="1946"/>
        <item x="278"/>
        <item m="1" x="2793"/>
        <item m="1" x="3286"/>
        <item m="1" x="4064"/>
        <item m="1" x="4622"/>
        <item m="1" x="3026"/>
        <item x="318"/>
        <item m="1" x="1163"/>
        <item m="1" x="1286"/>
        <item m="1" x="3270"/>
        <item m="1" x="1316"/>
        <item m="1" x="2016"/>
        <item m="1" x="4386"/>
        <item m="1" x="4564"/>
        <item m="1" x="645"/>
        <item m="1" x="2942"/>
        <item m="1" x="2615"/>
        <item m="1" x="2523"/>
        <item m="1" x="3866"/>
        <item m="1" x="2182"/>
        <item m="1" x="4116"/>
        <item m="1" x="2303"/>
        <item m="1" x="2881"/>
        <item x="240"/>
        <item m="1" x="762"/>
        <item m="1" x="3355"/>
        <item m="1" x="4642"/>
        <item m="1" x="2398"/>
        <item m="1" x="4412"/>
        <item m="1" x="3781"/>
        <item m="1" x="3125"/>
        <item m="1" x="987"/>
        <item m="1" x="3369"/>
        <item m="1" x="2053"/>
        <item m="1" x="4942"/>
        <item m="1" x="2338"/>
        <item m="1" x="1096"/>
        <item m="1" x="3442"/>
        <item m="1" x="4863"/>
        <item m="1" x="3135"/>
        <item m="1" x="1791"/>
        <item m="1" x="4780"/>
        <item m="1" x="4013"/>
        <item x="193"/>
        <item m="1" x="3117"/>
        <item m="1" x="1956"/>
        <item m="1" x="3871"/>
        <item m="1" x="3494"/>
        <item m="1" x="4228"/>
        <item m="1" x="4722"/>
        <item m="1" x="3159"/>
        <item x="243"/>
        <item m="1" x="2703"/>
        <item m="1" x="3877"/>
        <item m="1" x="4760"/>
        <item m="1" x="3247"/>
        <item m="1" x="1246"/>
        <item x="163"/>
        <item m="1" x="3031"/>
        <item m="1" x="972"/>
        <item m="1" x="2679"/>
        <item m="1" x="3109"/>
        <item m="1" x="2118"/>
        <item m="1" x="1020"/>
        <item m="1" x="2753"/>
        <item m="1" x="4777"/>
        <item x="391"/>
        <item m="1" x="2908"/>
        <item m="1" x="2774"/>
        <item m="1" x="2569"/>
        <item m="1" x="4463"/>
        <item m="1" x="4477"/>
        <item m="1" x="2152"/>
        <item m="1" x="1243"/>
        <item m="1" x="2056"/>
        <item m="1" x="4086"/>
        <item x="379"/>
        <item m="1" x="2431"/>
        <item m="1" x="1966"/>
        <item m="1" x="2780"/>
        <item m="1" x="3267"/>
        <item m="1" x="4089"/>
        <item m="1" x="2934"/>
        <item m="1" x="3415"/>
        <item x="343"/>
        <item m="1" x="4264"/>
        <item m="1" x="1495"/>
        <item m="1" x="2909"/>
        <item m="1" x="3619"/>
        <item m="1" x="2206"/>
        <item m="1" x="3285"/>
        <item m="1" x="2794"/>
        <item m="1" x="1292"/>
        <item m="1" x="3379"/>
        <item m="1" x="3775"/>
        <item m="1" x="1683"/>
        <item m="1" x="3434"/>
        <item m="1" x="1158"/>
        <item x="561"/>
        <item m="1" x="2135"/>
        <item m="1" x="2736"/>
        <item m="1" x="1225"/>
        <item x="332"/>
        <item x="116"/>
        <item x="89"/>
        <item m="1" x="1437"/>
        <item x="574"/>
        <item m="1" x="2573"/>
        <item m="1" x="4709"/>
        <item m="1" x="1671"/>
        <item m="1" x="1986"/>
        <item m="1" x="652"/>
        <item x="466"/>
        <item m="1" x="1237"/>
        <item m="1" x="1275"/>
        <item m="1" x="1749"/>
        <item m="1" x="4259"/>
        <item x="294"/>
        <item x="418"/>
        <item m="1" x="1500"/>
        <item m="1" x="4978"/>
        <item m="1" x="3307"/>
        <item m="1" x="3044"/>
        <item m="1" x="1577"/>
        <item m="1" x="2074"/>
        <item m="1" x="3152"/>
        <item m="1" x="3676"/>
        <item m="1" x="2069"/>
        <item m="1" x="1371"/>
        <item m="1" x="3146"/>
        <item m="1" x="1310"/>
        <item m="1" x="910"/>
        <item m="1" x="1106"/>
        <item m="1" x="967"/>
        <item m="1" x="1357"/>
        <item m="1" x="2998"/>
        <item m="1" x="4850"/>
        <item m="1" x="1273"/>
        <item m="1" x="890"/>
        <item m="1" x="1465"/>
        <item m="1" x="2928"/>
        <item m="1" x="1285"/>
        <item m="1" x="3093"/>
        <item m="1" x="2196"/>
        <item m="1" x="2718"/>
        <item m="1" x="2062"/>
        <item x="295"/>
        <item m="1" x="3275"/>
        <item m="1" x="1215"/>
        <item m="1" x="3278"/>
        <item x="296"/>
        <item m="1" x="3857"/>
        <item m="1" x="1904"/>
        <item m="1" x="2458"/>
        <item m="1" x="4037"/>
        <item m="1" x="2080"/>
        <item m="1" x="4534"/>
        <item x="395"/>
        <item m="1" x="1831"/>
        <item m="1" x="1482"/>
        <item m="1" x="1930"/>
        <item m="1" x="2677"/>
        <item m="1" x="2930"/>
        <item m="1" x="3814"/>
        <item m="1" x="761"/>
        <item x="567"/>
        <item m="1" x="1503"/>
        <item m="1" x="3100"/>
        <item m="1" x="4528"/>
        <item m="1" x="3416"/>
        <item m="1" x="3374"/>
        <item m="1" x="4955"/>
        <item m="1" x="2104"/>
        <item m="1" x="644"/>
        <item m="1" x="1055"/>
        <item x="54"/>
        <item x="329"/>
        <item m="1" x="1031"/>
        <item m="1" x="4224"/>
        <item m="1" x="4174"/>
        <item m="1" x="3408"/>
        <item m="1" x="780"/>
        <item m="1" x="2823"/>
        <item m="1" x="3820"/>
        <item m="1" x="4707"/>
        <item m="1" x="4971"/>
        <item x="81"/>
        <item m="1" x="2115"/>
        <item m="1" x="3576"/>
        <item m="1" x="4651"/>
        <item x="191"/>
        <item m="1" x="3165"/>
        <item m="1" x="4304"/>
        <item m="1" x="778"/>
        <item x="573"/>
        <item m="1" x="945"/>
        <item m="1" x="1449"/>
        <item x="422"/>
        <item m="1" x="1025"/>
        <item m="1" x="3514"/>
        <item m="1" x="655"/>
        <item m="1" x="2190"/>
        <item x="98"/>
        <item m="1" x="1649"/>
        <item m="1" x="4326"/>
        <item m="1" x="3468"/>
        <item m="1" x="985"/>
        <item m="1" x="1342"/>
        <item m="1" x="4763"/>
        <item x="448"/>
        <item m="1" x="2576"/>
        <item m="1" x="4804"/>
        <item m="1" x="2970"/>
        <item m="1" x="1530"/>
        <item m="1" x="4271"/>
        <item m="1" x="2550"/>
        <item m="1" x="1644"/>
        <item m="1" x="3552"/>
        <item m="1" x="935"/>
        <item m="1" x="4307"/>
        <item m="1" x="2644"/>
        <item x="74"/>
        <item m="1" x="3008"/>
        <item m="1" x="2278"/>
        <item m="1" x="4482"/>
        <item m="1" x="2957"/>
        <item m="1" x="2374"/>
        <item m="1" x="3599"/>
        <item m="1" x="917"/>
        <item m="1" x="2604"/>
        <item m="1" x="2397"/>
        <item m="1" x="4547"/>
        <item m="1" x="608"/>
        <item x="393"/>
        <item m="1" x="3919"/>
        <item m="1" x="4369"/>
        <item x="299"/>
        <item m="1" x="1201"/>
        <item m="1" x="3680"/>
        <item x="178"/>
        <item m="1" x="2349"/>
        <item m="1" x="2001"/>
        <item m="1" x="4049"/>
        <item m="1" x="4467"/>
        <item m="1" x="3375"/>
        <item m="1" x="2795"/>
        <item m="1" x="1968"/>
        <item m="1" x="2409"/>
        <item m="1" x="1624"/>
        <item m="1" x="4815"/>
        <item m="1" x="3112"/>
        <item m="1" x="2589"/>
        <item m="1" x="1753"/>
        <item m="1" x="4119"/>
        <item x="353"/>
        <item m="1" x="2861"/>
        <item m="1" x="2708"/>
        <item m="1" x="1882"/>
        <item m="1" x="950"/>
        <item m="1" x="1269"/>
        <item m="1" x="2538"/>
        <item m="1" x="3522"/>
        <item m="1" x="3443"/>
        <item m="1" x="3298"/>
        <item m="1" x="2046"/>
        <item m="1" x="4074"/>
        <item x="547"/>
        <item m="1" x="2455"/>
        <item m="1" x="2654"/>
        <item x="571"/>
        <item m="1" x="3454"/>
        <item m="1" x="2689"/>
        <item m="1" x="1058"/>
        <item m="1" x="3184"/>
        <item m="1" x="683"/>
        <item m="1" x="2285"/>
        <item m="1" x="685"/>
        <item m="1" x="4190"/>
        <item m="1" x="3959"/>
        <item m="1" x="725"/>
        <item m="1" x="4592"/>
        <item m="1" x="4757"/>
        <item x="558"/>
        <item m="1" x="4755"/>
        <item x="209"/>
        <item m="1" x="2634"/>
        <item m="1" x="1110"/>
        <item m="1" x="1109"/>
        <item m="1" x="1739"/>
        <item m="1" x="4097"/>
        <item m="1" x="1475"/>
        <item m="1" x="2160"/>
        <item x="208"/>
        <item m="1" x="3126"/>
        <item m="1" x="1923"/>
        <item x="239"/>
        <item m="1" x="1010"/>
        <item m="1" x="2907"/>
        <item m="1" x="1074"/>
        <item m="1" x="913"/>
        <item m="1" x="2973"/>
        <item m="1" x="2961"/>
        <item m="1" x="2384"/>
        <item m="1" x="3429"/>
        <item m="1" x="3564"/>
        <item m="1" x="3773"/>
        <item m="1" x="2962"/>
        <item m="1" x="2395"/>
        <item m="1" x="606"/>
        <item m="1" x="3863"/>
        <item m="1" x="3566"/>
        <item m="1" x="2413"/>
        <item m="1" x="3706"/>
        <item m="1" x="2208"/>
        <item m="1" x="4144"/>
        <item m="1" x="1948"/>
        <item m="1" x="2394"/>
        <item m="1" x="3438"/>
        <item m="1" x="4882"/>
        <item m="1" x="3977"/>
        <item m="1" x="2468"/>
        <item m="1" x="3649"/>
        <item m="1" x="2946"/>
        <item m="1" x="3937"/>
        <item m="1" x="4475"/>
        <item m="1" x="3720"/>
        <item m="1" x="3672"/>
        <item m="1" x="3291"/>
        <item m="1" x="3371"/>
        <item m="1" x="2953"/>
        <item m="1" x="748"/>
        <item m="1" x="1585"/>
        <item x="274"/>
        <item m="1" x="3212"/>
        <item m="1" x="4509"/>
        <item m="1" x="3725"/>
        <item m="1" x="4972"/>
        <item m="1" x="2396"/>
        <item m="1" x="1765"/>
        <item x="127"/>
        <item m="1" x="4840"/>
        <item x="436"/>
        <item m="1" x="2876"/>
        <item m="1" x="3373"/>
        <item m="1" x="1794"/>
        <item m="1" x="623"/>
        <item m="1" x="1550"/>
        <item m="1" x="2944"/>
        <item x="157"/>
        <item m="1" x="2558"/>
        <item m="1" x="1523"/>
        <item m="1" x="1657"/>
        <item m="1" x="2169"/>
        <item m="1" x="2291"/>
        <item m="1" x="2047"/>
        <item m="1" x="882"/>
        <item m="1" x="4577"/>
        <item m="1" x="4324"/>
        <item m="1" x="927"/>
        <item m="1" x="2933"/>
        <item m="1" x="719"/>
        <item m="1" x="1195"/>
        <item m="1" x="2263"/>
        <item m="1" x="4167"/>
        <item m="1" x="620"/>
        <item m="1" x="4344"/>
        <item x="494"/>
        <item m="1" x="3731"/>
        <item m="1" x="2141"/>
        <item m="1" x="958"/>
        <item m="1" x="4864"/>
        <item m="1" x="3768"/>
        <item m="1" x="689"/>
        <item m="1" x="4012"/>
        <item m="1" x="2804"/>
        <item m="1" x="3074"/>
        <item x="133"/>
        <item m="1" x="4949"/>
        <item m="1" x="4442"/>
        <item m="1" x="4310"/>
        <item m="1" x="4400"/>
        <item m="1" x="3753"/>
        <item m="1" x="4300"/>
        <item m="1" x="925"/>
        <item m="1" x="2940"/>
        <item m="1" x="741"/>
        <item m="1" x="2894"/>
        <item m="1" x="4432"/>
        <item m="1" x="2542"/>
        <item m="1" x="1852"/>
        <item m="1" x="4268"/>
        <item m="1" x="3588"/>
        <item m="1" x="4699"/>
        <item m="1" x="4025"/>
        <item m="1" x="3616"/>
        <item m="1" x="1152"/>
        <item m="1" x="2696"/>
        <item m="1" x="1474"/>
        <item m="1" x="4103"/>
        <item m="1" x="1647"/>
        <item m="1" x="4607"/>
        <item m="1" x="2516"/>
        <item m="1" x="4693"/>
        <item m="1" x="4023"/>
        <item m="1" x="1254"/>
        <item m="1" x="3430"/>
        <item m="1" x="4865"/>
        <item m="1" x="3356"/>
        <item m="1" x="1185"/>
        <item m="1" x="2110"/>
        <item m="1" x="867"/>
        <item m="1" x="1812"/>
        <item m="1" x="3067"/>
        <item m="1" x="1888"/>
        <item m="1" x="3069"/>
        <item x="445"/>
        <item x="267"/>
        <item m="1" x="4579"/>
        <item x="219"/>
        <item m="1" x="1681"/>
        <item m="1" x="4488"/>
        <item m="1" x="1491"/>
        <item x="40"/>
        <item m="1" x="1159"/>
        <item m="1" x="995"/>
        <item m="1" x="2054"/>
        <item m="1" x="896"/>
        <item m="1" x="1014"/>
        <item m="1" x="1408"/>
        <item m="1" x="3683"/>
        <item m="1" x="2568"/>
        <item m="1" x="3123"/>
        <item m="1" x="3735"/>
        <item m="1" x="2388"/>
        <item x="216"/>
        <item m="1" x="4385"/>
        <item m="1" x="4294"/>
        <item m="1" x="2759"/>
        <item m="1" x="3017"/>
        <item m="1" x="1006"/>
        <item m="1" x="2955"/>
        <item m="1" x="1204"/>
        <item m="1" x="3633"/>
        <item x="145"/>
        <item x="95"/>
        <item m="1" x="1924"/>
        <item x="67"/>
        <item m="1" x="2741"/>
        <item m="1" x="932"/>
        <item m="1" x="3603"/>
        <item m="1" x="4348"/>
        <item m="1" x="1228"/>
        <item m="1" x="3447"/>
        <item m="1" x="1906"/>
        <item x="602"/>
        <item m="1" x="803"/>
        <item m="1" x="4788"/>
        <item m="1" x="1808"/>
        <item m="1" x="4970"/>
        <item m="1" x="2921"/>
        <item m="1" x="4545"/>
        <item m="1" x="3271"/>
        <item m="1" x="1050"/>
        <item m="1" x="3527"/>
        <item m="1" x="1750"/>
        <item m="1" x="885"/>
        <item m="1" x="1180"/>
        <item m="1" x="3841"/>
        <item m="1" x="3896"/>
        <item m="1" x="3642"/>
        <item m="1" x="4121"/>
        <item m="1" x="3790"/>
        <item m="1" x="4405"/>
        <item m="1" x="2114"/>
        <item m="1" x="4251"/>
        <item m="1" x="2878"/>
        <item x="373"/>
        <item m="1" x="3007"/>
        <item m="1" x="3515"/>
        <item m="1" x="3557"/>
        <item m="1" x="1252"/>
        <item m="1" x="2715"/>
        <item x="179"/>
        <item x="472"/>
        <item x="26"/>
        <item m="1" x="1595"/>
        <item m="1" x="3449"/>
        <item m="1" x="4843"/>
        <item m="1" x="4376"/>
        <item m="1" x="4679"/>
        <item m="1" x="1216"/>
        <item m="1" x="830"/>
        <item m="1" x="617"/>
        <item m="1" x="1311"/>
        <item m="1" x="2078"/>
        <item x="285"/>
        <item m="1" x="1513"/>
        <item m="1" x="923"/>
        <item m="1" x="1707"/>
        <item x="232"/>
        <item m="1" x="2163"/>
        <item m="1" x="1521"/>
        <item m="1" x="1650"/>
        <item m="1" x="4032"/>
        <item m="1" x="2875"/>
        <item x="491"/>
        <item m="1" x="4542"/>
        <item m="1" x="1402"/>
        <item m="1" x="4384"/>
        <item m="1" x="2594"/>
        <item m="1" x="1490"/>
        <item m="1" x="854"/>
        <item m="1" x="3842"/>
        <item m="1" x="3612"/>
        <item x="570"/>
        <item m="1" x="2922"/>
        <item m="1" x="2670"/>
        <item m="1" x="3182"/>
        <item m="1" x="3395"/>
        <item m="1" x="4559"/>
        <item m="1" x="4601"/>
        <item m="1" x="965"/>
        <item m="1" x="4848"/>
        <item m="1" x="799"/>
        <item m="1" x="3300"/>
        <item m="1" x="1613"/>
        <item m="1" x="1433"/>
        <item m="1" x="3353"/>
        <item m="1" x="4161"/>
        <item m="1" x="2923"/>
        <item m="1" x="3376"/>
        <item m="1" x="2454"/>
        <item m="1" x="4403"/>
        <item m="1" x="2332"/>
        <item m="1" x="3336"/>
        <item m="1" x="3707"/>
        <item m="1" x="1822"/>
        <item m="1" x="759"/>
        <item m="1" x="2506"/>
        <item m="1" x="3488"/>
        <item m="1" x="699"/>
        <item m="1" x="1122"/>
        <item m="1" x="1089"/>
        <item m="1" x="1981"/>
        <item m="1" x="2919"/>
        <item x="477"/>
        <item m="1" x="723"/>
        <item m="1" x="4014"/>
        <item m="1" x="2826"/>
        <item m="1" x="3361"/>
        <item m="1" x="1604"/>
        <item m="1" x="2559"/>
        <item m="1" x="4095"/>
        <item x="580"/>
        <item m="1" x="731"/>
        <item m="1" x="4959"/>
        <item m="1" x="2798"/>
        <item x="141"/>
        <item m="1" x="1746"/>
        <item m="1" x="4894"/>
        <item m="1" x="941"/>
        <item m="1" x="4262"/>
        <item m="1" x="3280"/>
        <item x="0"/>
        <item m="1" x="1105"/>
        <item m="1" x="4217"/>
        <item m="1" x="4425"/>
        <item m="1" x="843"/>
        <item x="1"/>
        <item m="1" x="4593"/>
        <item m="1" x="1032"/>
        <item m="1" x="1098"/>
        <item m="1" x="4814"/>
        <item m="1" x="2192"/>
        <item m="1" x="911"/>
        <item m="1" x="4900"/>
        <item m="1" x="3362"/>
        <item m="1" x="1035"/>
        <item m="1" x="997"/>
        <item m="1" x="1771"/>
        <item m="1" x="3584"/>
        <item m="1" x="4511"/>
        <item m="1" x="1461"/>
        <item m="1" x="3513"/>
        <item x="542"/>
        <item m="1" x="2442"/>
        <item m="1" x="4830"/>
        <item m="1" x="1541"/>
        <item m="1" x="2629"/>
        <item m="1" x="1606"/>
        <item x="41"/>
        <item m="1" x="2165"/>
        <item m="1" x="613"/>
        <item m="1" x="2129"/>
        <item m="1" x="1435"/>
        <item m="1" x="711"/>
        <item m="1" x="1977"/>
        <item m="1" x="1840"/>
        <item x="554"/>
        <item m="1" x="1762"/>
        <item x="222"/>
        <item m="1" x="2423"/>
        <item m="1" x="2032"/>
        <item m="1" x="817"/>
        <item m="1" x="1263"/>
        <item m="1" x="2849"/>
        <item m="1" x="1884"/>
        <item m="1" x="2307"/>
        <item m="1" x="3510"/>
        <item x="406"/>
        <item m="1" x="1155"/>
        <item m="1" x="3878"/>
        <item m="1" x="1305"/>
        <item m="1" x="3811"/>
        <item x="453"/>
        <item m="1" x="2883"/>
        <item m="1" x="4818"/>
        <item m="1" x="747"/>
        <item m="1" x="1569"/>
        <item m="1" x="1376"/>
        <item m="1" x="4440"/>
        <item x="235"/>
        <item m="1" x="3232"/>
        <item m="1" x="1518"/>
        <item m="1" x="721"/>
        <item m="1" x="714"/>
        <item m="1" x="2241"/>
        <item m="1" x="3153"/>
        <item x="384"/>
        <item m="1" x="3667"/>
        <item m="1" x="3699"/>
        <item m="1" x="2681"/>
        <item m="1" x="658"/>
        <item m="1" x="2246"/>
        <item m="1" x="4981"/>
        <item m="1" x="4166"/>
        <item m="1" x="4884"/>
        <item m="1" x="3784"/>
        <item m="1" x="3661"/>
        <item m="1" x="3203"/>
        <item m="1" x="1507"/>
        <item m="1" x="1205"/>
        <item m="1" x="953"/>
        <item m="1" x="1512"/>
        <item m="1" x="3325"/>
        <item m="1" x="1612"/>
        <item m="1" x="2505"/>
        <item m="1" x="1861"/>
        <item m="1" x="4004"/>
        <item x="90"/>
        <item m="1" x="1741"/>
        <item m="1" x="3917"/>
        <item m="1" x="3845"/>
        <item m="1" x="3229"/>
        <item m="1" x="868"/>
        <item x="265"/>
        <item x="333"/>
        <item m="1" x="1598"/>
        <item m="1" x="4209"/>
        <item m="1" x="3988"/>
        <item m="1" x="1716"/>
        <item m="1" x="934"/>
        <item m="1" x="3872"/>
        <item m="1" x="2177"/>
        <item x="579"/>
        <item x="247"/>
        <item m="1" x="2725"/>
        <item m="1" x="4471"/>
        <item m="1" x="4250"/>
        <item m="1" x="4380"/>
        <item x="104"/>
        <item m="1" x="1795"/>
        <item m="1" x="2148"/>
        <item m="1" x="3193"/>
        <item m="1" x="3465"/>
        <item m="1" x="1964"/>
        <item m="1" x="2350"/>
        <item m="1" x="1743"/>
        <item m="1" x="3043"/>
        <item m="1" x="4982"/>
        <item m="1" x="4658"/>
        <item m="1" x="1586"/>
        <item m="1" x="4227"/>
        <item m="1" x="1224"/>
        <item m="1" x="2496"/>
        <item m="1" x="3801"/>
        <item m="1" x="2831"/>
        <item m="1" x="3627"/>
        <item x="275"/>
        <item m="1" x="2698"/>
        <item m="1" x="3190"/>
        <item x="566"/>
        <item m="1" x="2517"/>
        <item m="1" x="1979"/>
        <item m="1" x="2320"/>
        <item m="1" x="2051"/>
        <item m="1" x="1113"/>
        <item m="1" x="937"/>
        <item m="1" x="2333"/>
        <item m="1" x="660"/>
        <item m="1" x="1499"/>
        <item m="1" x="1833"/>
        <item m="1" x="4820"/>
        <item m="1" x="4084"/>
        <item m="1" x="4204"/>
        <item m="1" x="3040"/>
        <item x="300"/>
        <item x="125"/>
        <item m="1" x="3596"/>
        <item m="1" x="2071"/>
        <item m="1" x="2068"/>
        <item m="1" x="2467"/>
        <item m="1" x="2986"/>
        <item m="1" x="2757"/>
        <item m="1" x="819"/>
        <item m="1" x="1264"/>
        <item x="357"/>
        <item m="1" x="1868"/>
        <item m="1" x="4931"/>
        <item m="1" x="4920"/>
        <item x="584"/>
        <item m="1" x="2507"/>
        <item m="1" x="619"/>
        <item m="1" x="673"/>
        <item m="1" x="2905"/>
        <item m="1" x="1041"/>
        <item m="1" x="853"/>
        <item m="1" x="2779"/>
        <item m="1" x="1670"/>
        <item m="1" x="3297"/>
        <item x="70"/>
        <item m="1" x="1379"/>
        <item m="1" x="3249"/>
        <item m="1" x="3723"/>
        <item m="1" x="2700"/>
        <item m="1" x="3554"/>
        <item m="1" x="1596"/>
        <item m="1" x="1745"/>
        <item m="1" x="1054"/>
        <item x="556"/>
        <item m="1" x="810"/>
        <item m="1" x="2220"/>
        <item m="1" x="4681"/>
        <item m="1" x="4415"/>
        <item x="405"/>
        <item m="1" x="4424"/>
        <item m="1" x="2228"/>
        <item x="309"/>
        <item m="1" x="3609"/>
        <item m="1" x="3692"/>
        <item x="87"/>
        <item m="1" x="2662"/>
        <item m="1" x="1712"/>
        <item m="1" x="3431"/>
        <item m="1" x="2252"/>
        <item m="1" x="3886"/>
        <item m="1" x="2556"/>
        <item m="1" x="3982"/>
        <item m="1" x="1944"/>
        <item m="1" x="1375"/>
        <item m="1" x="4507"/>
        <item m="1" x="3611"/>
        <item m="1" x="2127"/>
        <item m="1" x="1759"/>
        <item m="1" x="4776"/>
        <item x="552"/>
        <item x="36"/>
        <item x="149"/>
        <item m="1" x="3070"/>
        <item m="1" x="1789"/>
        <item m="1" x="3821"/>
        <item m="1" x="2451"/>
        <item x="315"/>
        <item m="1" x="4107"/>
        <item m="1" x="2674"/>
        <item x="543"/>
        <item x="504"/>
        <item m="1" x="3477"/>
        <item m="1" x="4746"/>
        <item m="1" x="883"/>
        <item m="1" x="975"/>
        <item m="1" x="4885"/>
        <item m="1" x="4423"/>
        <item m="1" x="892"/>
        <item m="1" x="2106"/>
        <item m="1" x="2354"/>
        <item m="1" x="3520"/>
        <item m="1" x="1498"/>
        <item m="1" x="4624"/>
        <item m="1" x="2509"/>
        <item m="1" x="3541"/>
        <item m="1" x="807"/>
        <item m="1" x="2547"/>
        <item m="1" x="2302"/>
        <item m="1" x="4297"/>
        <item m="1" x="1887"/>
        <item m="1" x="798"/>
        <item m="1" x="906"/>
        <item m="1" x="1544"/>
        <item m="1" x="2808"/>
        <item m="1" x="1648"/>
        <item x="581"/>
        <item x="601"/>
        <item m="1" x="1836"/>
        <item x="369"/>
        <item m="1" x="3223"/>
        <item m="1" x="2082"/>
        <item m="1" x="2975"/>
        <item m="1" x="1594"/>
        <item m="1" x="3315"/>
        <item x="262"/>
        <item x="288"/>
        <item m="1" x="2420"/>
        <item m="1" x="3567"/>
        <item m="1" x="3403"/>
        <item m="1" x="1576"/>
        <item m="1" x="2844"/>
        <item m="1" x="4173"/>
        <item m="1" x="1191"/>
        <item m="1" x="2164"/>
        <item m="1" x="4869"/>
        <item m="1" x="1048"/>
        <item m="1" x="1916"/>
        <item m="1" x="3048"/>
        <item m="1" x="4502"/>
        <item m="1" x="3817"/>
        <item m="1" x="4594"/>
        <item m="1" x="2008"/>
        <item m="1" x="2171"/>
        <item m="1" x="4357"/>
        <item m="1" x="1959"/>
        <item m="1" x="3265"/>
        <item m="1" x="862"/>
        <item m="1" x="4892"/>
        <item m="1" x="3045"/>
        <item m="1" x="1839"/>
        <item m="1" x="2210"/>
        <item m="1" x="4449"/>
        <item m="1" x="2925"/>
        <item m="1" x="4451"/>
        <item m="1" x="4986"/>
        <item m="1" x="3951"/>
        <item m="1" x="2168"/>
        <item m="1" x="1603"/>
        <item m="1" x="915"/>
        <item m="1" x="3295"/>
        <item m="1" x="3460"/>
        <item m="1" x="1227"/>
        <item m="1" x="1426"/>
        <item x="44"/>
        <item m="1" x="999"/>
        <item m="1" x="2871"/>
        <item m="1" x="2712"/>
        <item m="1" x="4196"/>
        <item m="1" x="4231"/>
        <item m="1" x="3433"/>
        <item x="37"/>
        <item m="1" x="4016"/>
        <item m="1" x="2385"/>
        <item m="1" x="3583"/>
        <item m="1" x="1301"/>
        <item m="1" x="3287"/>
        <item m="1" x="860"/>
        <item m="1" x="1997"/>
        <item m="1" x="740"/>
        <item m="1" x="4555"/>
        <item m="1" x="4888"/>
        <item m="1" x="2807"/>
        <item m="1" x="2304"/>
        <item m="1" x="4024"/>
        <item m="1" x="697"/>
        <item m="1" x="1454"/>
        <item m="1" x="1344"/>
        <item m="1" x="2895"/>
        <item m="1" x="3538"/>
        <item m="1" x="844"/>
        <item m="1" x="3658"/>
        <item m="1" x="4785"/>
        <item m="1" x="2790"/>
        <item m="1" x="825"/>
        <item m="1" x="851"/>
        <item m="1" x="4766"/>
        <item m="1" x="2563"/>
        <item m="1" x="2665"/>
        <item m="1" x="3458"/>
        <item m="1" x="3435"/>
        <item m="1" x="2070"/>
        <item m="1" x="3257"/>
        <item m="1" x="2624"/>
        <item x="537"/>
        <item x="344"/>
        <item x="147"/>
        <item m="1" x="1856"/>
        <item m="1" x="1779"/>
        <item m="1" x="2818"/>
        <item m="1" x="1248"/>
        <item m="1" x="805"/>
        <item m="1" x="698"/>
        <item m="1" x="3530"/>
        <item m="1" x="4081"/>
        <item m="1" x="3266"/>
        <item m="1" x="1208"/>
        <item x="535"/>
        <item m="1" x="4932"/>
        <item m="1" x="671"/>
        <item m="1" x="1506"/>
        <item m="1" x="3870"/>
        <item m="1" x="4550"/>
        <item m="1" x="765"/>
        <item x="244"/>
        <item m="1" x="1103"/>
        <item m="1" x="3363"/>
        <item m="1" x="2864"/>
        <item m="1" x="4407"/>
        <item m="1" x="4468"/>
        <item m="1" x="3457"/>
        <item m="1" x="4197"/>
        <item m="1" x="4750"/>
        <item m="1" x="3957"/>
        <item m="1" x="3113"/>
        <item m="1" x="2125"/>
        <item m="1" x="4974"/>
        <item m="1" x="4373"/>
        <item m="1" x="4270"/>
        <item m="1" x="4428"/>
        <item x="261"/>
        <item m="1" x="1757"/>
        <item m="1" x="3414"/>
        <item m="1" x="4000"/>
        <item m="1" x="4736"/>
        <item m="1" x="4371"/>
        <item m="1" x="4691"/>
        <item m="1" x="3936"/>
        <item m="1" x="4895"/>
        <item m="1" x="3809"/>
        <item m="1" x="2076"/>
        <item m="1" x="4419"/>
        <item m="1" x="3277"/>
        <item m="1" x="3304"/>
        <item m="1" x="2635"/>
        <item m="1" x="1076"/>
        <item m="1" x="677"/>
        <item m="1" x="2105"/>
        <item m="1" x="3608"/>
        <item m="1" x="2469"/>
        <item m="1" x="795"/>
        <item m="1" x="1151"/>
        <item m="1" x="1385"/>
        <item m="1" x="4077"/>
        <item m="1" x="1377"/>
        <item m="1" x="1190"/>
        <item m="1" x="1618"/>
        <item m="1" x="1481"/>
        <item m="1" x="1430"/>
        <item m="1" x="3909"/>
        <item m="1" x="4614"/>
        <item m="1" x="3394"/>
        <item x="217"/>
        <item x="335"/>
        <item m="1" x="4411"/>
        <item m="1" x="2762"/>
        <item m="1" x="4006"/>
        <item m="1" x="3782"/>
        <item m="1" x="3783"/>
        <item m="1" x="3423"/>
        <item m="1" x="1855"/>
        <item m="1" x="2024"/>
        <item m="1" x="4659"/>
        <item m="1" x="2990"/>
        <item x="270"/>
        <item m="1" x="4799"/>
        <item x="430"/>
        <item m="1" x="4493"/>
        <item m="1" x="607"/>
        <item m="1" x="800"/>
        <item m="1" x="2494"/>
        <item m="1" x="1693"/>
        <item m="1" x="1607"/>
        <item m="1" x="3776"/>
        <item m="1" x="1834"/>
        <item m="1" x="4035"/>
        <item m="1" x="4379"/>
        <item m="1" x="4633"/>
        <item m="1" x="2180"/>
        <item m="1" x="1178"/>
        <item m="1" x="3453"/>
        <item m="1" x="635"/>
        <item m="1" x="3962"/>
        <item m="1" x="1918"/>
        <item m="1" x="4156"/>
        <item m="1" x="1023"/>
        <item m="1" x="3840"/>
        <item m="1" x="1900"/>
        <item m="1" x="4094"/>
        <item m="1" x="3130"/>
        <item m="1" x="4552"/>
        <item m="1" x="3560"/>
        <item m="1" x="3748"/>
        <item x="109"/>
        <item m="1" x="4117"/>
        <item m="1" x="2150"/>
        <item m="1" x="2716"/>
        <item m="1" x="679"/>
        <item m="1" x="1605"/>
        <item m="1" x="4409"/>
        <item m="1" x="4334"/>
        <item m="1" x="2852"/>
        <item m="1" x="3923"/>
        <item m="1" x="2713"/>
        <item m="1" x="2340"/>
        <item m="1" x="4338"/>
        <item m="1" x="832"/>
        <item m="1" x="2564"/>
        <item x="412"/>
        <item m="1" x="1696"/>
        <item m="1" x="4255"/>
        <item m="1" x="3794"/>
        <item m="1" x="4460"/>
        <item m="1" x="768"/>
        <item m="1" x="3143"/>
        <item m="1" x="4720"/>
        <item m="1" x="1860"/>
        <item m="1" x="4713"/>
        <item m="1" x="2253"/>
        <item m="1" x="1325"/>
        <item m="1" x="4022"/>
        <item m="1" x="2359"/>
        <item m="1" x="3331"/>
        <item m="1" x="3256"/>
        <item m="1" x="4934"/>
        <item m="1" x="4514"/>
        <item m="1" x="3283"/>
        <item m="1" x="4112"/>
        <item m="1" x="4427"/>
        <item m="1" x="612"/>
        <item m="1" x="2763"/>
        <item m="1" x="4148"/>
        <item x="263"/>
        <item m="1" x="3216"/>
        <item m="1" x="1289"/>
        <item m="1" x="4127"/>
        <item m="1" x="4588"/>
        <item m="1" x="3943"/>
        <item m="1" x="4656"/>
        <item m="1" x="4965"/>
        <item m="1" x="3136"/>
        <item m="1" x="949"/>
        <item m="1" x="4165"/>
        <item m="1" x="3391"/>
        <item m="1" x="1694"/>
        <item m="1" x="4598"/>
        <item m="1" x="3167"/>
        <item m="1" x="1559"/>
        <item m="1" x="4599"/>
        <item m="1" x="4239"/>
        <item m="1" x="1296"/>
        <item x="354"/>
        <item x="103"/>
        <item m="1" x="4293"/>
        <item m="1" x="4530"/>
        <item m="1" x="3885"/>
        <item m="1" x="4873"/>
        <item m="1" x="4076"/>
        <item m="1" x="833"/>
        <item m="1" x="4795"/>
        <item m="1" x="3763"/>
        <item x="43"/>
        <item m="1" x="2598"/>
        <item m="1" x="1932"/>
        <item m="1" x="4289"/>
        <item m="1" x="2456"/>
        <item m="1" x="2065"/>
        <item m="1" x="3426"/>
        <item m="1" x="3610"/>
        <item m="1" x="2370"/>
        <item m="1" x="2149"/>
        <item m="1" x="4072"/>
        <item m="1" x="2214"/>
        <item m="1" x="1667"/>
        <item m="1" x="4200"/>
        <item m="1" x="3092"/>
        <item m="1" x="3088"/>
        <item m="1" x="2939"/>
        <item m="1" x="1933"/>
        <item m="1" x="1493"/>
        <item m="1" x="1706"/>
        <item m="1" x="4331"/>
        <item m="1" x="3402"/>
        <item m="1" x="2266"/>
        <item m="1" x="4296"/>
        <item m="1" x="2777"/>
        <item m="1" x="1393"/>
        <item m="1" x="4192"/>
        <item m="1" x="3715"/>
        <item x="308"/>
        <item m="1" x="3639"/>
        <item m="1" x="1963"/>
        <item m="1" x="3812"/>
        <item m="1" x="4414"/>
        <item m="1" x="1723"/>
        <item m="1" x="3139"/>
        <item m="1" x="2238"/>
        <item m="1" x="4683"/>
        <item m="1" x="4627"/>
        <item m="1" x="3571"/>
        <item m="1" x="2040"/>
        <item m="1" x="2072"/>
        <item m="1" x="1194"/>
        <item m="1" x="2959"/>
        <item m="1" x="4216"/>
        <item m="1" x="4966"/>
        <item m="1" x="3966"/>
        <item m="1" x="3901"/>
        <item m="1" x="2236"/>
        <item m="1" x="2281"/>
        <item m="1" x="3615"/>
        <item m="1" x="3497"/>
        <item m="1" x="3405"/>
        <item m="1" x="3060"/>
        <item m="1" x="2412"/>
        <item m="1" x="2963"/>
        <item m="1" x="4026"/>
        <item m="1" x="3359"/>
        <item m="1" x="1147"/>
        <item m="1" x="2561"/>
        <item x="586"/>
        <item m="1" x="4275"/>
        <item m="1" x="1471"/>
        <item m="1" x="1487"/>
        <item x="592"/>
        <item m="1" x="1303"/>
        <item m="1" x="3550"/>
        <item m="1" x="2313"/>
        <item m="1" x="1472"/>
        <item m="1" x="1673"/>
        <item m="1" x="1209"/>
        <item m="1" x="2579"/>
        <item m="1" x="1327"/>
        <item m="1" x="2331"/>
        <item m="1" x="1308"/>
        <item m="1" x="4964"/>
        <item m="1" x="4290"/>
        <item m="1" x="4767"/>
        <item m="1" x="744"/>
        <item m="1" x="2675"/>
        <item m="1" x="4444"/>
        <item m="1" x="2284"/>
        <item m="1" x="4926"/>
        <item m="1" x="3238"/>
        <item m="1" x="1063"/>
        <item m="1" x="4927"/>
        <item x="165"/>
        <item m="1" x="4218"/>
        <item m="1" x="4219"/>
        <item m="1" x="3983"/>
        <item m="1" x="4744"/>
        <item m="1" x="2667"/>
        <item m="1" x="1849"/>
        <item m="1" x="1003"/>
        <item x="503"/>
        <item m="1" x="791"/>
        <item m="1" x="4822"/>
        <item m="1" x="2435"/>
        <item m="1" x="2820"/>
        <item m="1" x="4628"/>
        <item m="1" x="4466"/>
        <item m="1" x="4394"/>
        <item m="1" x="4122"/>
        <item m="1" x="4677"/>
        <item m="1" x="4513"/>
        <item m="1" x="1841"/>
        <item m="1" x="4352"/>
        <item m="1" x="4675"/>
        <item m="1" x="750"/>
        <item m="1" x="1734"/>
        <item m="1" x="2717"/>
        <item m="1" x="779"/>
        <item m="1" x="857"/>
        <item m="1" x="1642"/>
        <item m="1" x="2526"/>
        <item m="1" x="3351"/>
        <item m="1" x="1391"/>
        <item m="1" x="3991"/>
        <item m="1" x="4836"/>
        <item m="1" x="4430"/>
        <item m="1" x="3546"/>
        <item m="1" x="2527"/>
        <item m="1" x="907"/>
        <item x="541"/>
        <item m="1" x="2361"/>
        <item m="1" x="2866"/>
        <item m="1" x="743"/>
        <item m="1" x="1814"/>
        <item m="1" x="4009"/>
        <item m="1" x="3691"/>
        <item m="1" x="1220"/>
        <item m="1" x="4854"/>
        <item m="1" x="3905"/>
        <item m="1" x="4789"/>
        <item m="1" x="3221"/>
        <item m="1" x="2870"/>
        <item m="1" x="3360"/>
        <item m="1" x="1778"/>
        <item m="1" x="2995"/>
        <item m="1" x="4057"/>
        <item x="432"/>
        <item m="1" x="1600"/>
        <item m="1" x="4136"/>
        <item m="1" x="1404"/>
        <item x="92"/>
        <item m="1" x="4489"/>
        <item m="1" x="2530"/>
        <item m="1" x="1653"/>
        <item m="1" x="638"/>
        <item m="1" x="3479"/>
        <item m="1" x="2637"/>
        <item m="1" x="823"/>
        <item x="455"/>
        <item m="1" x="2941"/>
        <item m="1" x="1259"/>
        <item m="1" x="1090"/>
        <item m="1" x="4580"/>
        <item m="1" x="4859"/>
        <item m="1" x="824"/>
        <item m="1" x="1615"/>
        <item m="1" x="3944"/>
        <item x="19"/>
        <item x="161"/>
        <item m="1" x="4543"/>
        <item m="1" x="3188"/>
        <item m="1" x="3662"/>
        <item m="1" x="1602"/>
        <item x="578"/>
        <item x="134"/>
        <item m="1" x="745"/>
        <item x="419"/>
        <item m="1" x="2755"/>
        <item m="1" x="1832"/>
        <item m="1" x="2751"/>
        <item m="1" x="4639"/>
        <item m="1" x="1978"/>
        <item m="1" x="1724"/>
        <item m="1" x="3914"/>
        <item x="524"/>
        <item m="1" x="3132"/>
        <item x="160"/>
        <item m="1" x="1842"/>
        <item m="1" x="3500"/>
        <item x="326"/>
        <item m="1" x="837"/>
        <item x="186"/>
        <item m="1" x="3907"/>
        <item m="1" x="1464"/>
        <item m="1" x="3001"/>
        <item m="1" x="1819"/>
        <item m="1" x="926"/>
        <item x="253"/>
        <item m="1" x="2489"/>
        <item m="1" x="1326"/>
        <item m="1" x="4410"/>
        <item m="1" x="4247"/>
        <item m="1" x="3696"/>
        <item m="1" x="709"/>
        <item x="478"/>
        <item x="530"/>
        <item m="1" x="2964"/>
        <item m="1" x="3836"/>
        <item m="1" x="1353"/>
        <item m="1" x="3824"/>
        <item m="1" x="3624"/>
        <item m="1" x="3561"/>
        <item m="1" x="2948"/>
        <item x="276"/>
        <item m="1" x="4741"/>
        <item x="196"/>
        <item m="1" x="3933"/>
        <item m="1" x="2257"/>
        <item m="1" x="2999"/>
        <item m="1" x="3635"/>
        <item x="3"/>
        <item m="1" x="1555"/>
        <item x="388"/>
        <item m="1" x="2495"/>
        <item m="1" x="3082"/>
        <item m="1" x="3101"/>
        <item m="1" x="2605"/>
        <item m="1" x="3898"/>
        <item m="1" x="3986"/>
        <item m="1" x="4191"/>
        <item m="1" x="2181"/>
        <item m="1" x="4629"/>
        <item m="1" x="1552"/>
        <item m="1" x="2239"/>
        <item m="1" x="3181"/>
        <item m="1" x="4922"/>
        <item m="1" x="1173"/>
        <item m="1" x="3579"/>
        <item m="1" x="4532"/>
        <item m="1" x="4287"/>
        <item m="1" x="3466"/>
        <item m="1" x="4111"/>
        <item m="1" x="1939"/>
        <item m="1" x="3922"/>
        <item m="1" x="1438"/>
        <item x="407"/>
        <item m="1" x="4045"/>
        <item m="1" x="704"/>
        <item m="1" x="1154"/>
        <item x="544"/>
        <item m="1" x="3154"/>
        <item m="1" x="1024"/>
        <item m="1" x="1531"/>
        <item m="1" x="1280"/>
        <item m="1" x="3888"/>
        <item m="1" x="1980"/>
        <item m="1" x="4225"/>
        <item m="1" x="4031"/>
        <item m="1" x="1169"/>
        <item m="1" x="4708"/>
        <item x="500"/>
        <item m="1" x="1727"/>
        <item x="101"/>
        <item x="16"/>
        <item m="1" x="2874"/>
        <item m="1" x="2259"/>
        <item m="1" x="1101"/>
        <item m="1" x="1381"/>
        <item m="1" x="2529"/>
        <item x="213"/>
        <item m="1" x="2352"/>
        <item m="1" x="2126"/>
        <item m="1" x="2892"/>
        <item m="1" x="2324"/>
        <item m="1" x="822"/>
        <item m="1" x="1135"/>
        <item m="1" x="3140"/>
        <item x="557"/>
        <item m="1" x="4020"/>
        <item m="1" x="3378"/>
        <item m="1" x="1145"/>
        <item m="1" x="1988"/>
        <item m="1" x="1219"/>
        <item m="1" x="3486"/>
        <item x="334"/>
        <item m="1" x="2742"/>
        <item m="1" x="1022"/>
        <item x="531"/>
        <item m="1" x="4082"/>
        <item m="1" x="3467"/>
        <item m="1" x="3095"/>
        <item m="1" x="1807"/>
        <item m="1" x="3932"/>
        <item m="1" x="1558"/>
        <item m="1" x="3217"/>
        <item m="1" x="4336"/>
        <item m="1" x="1913"/>
        <item m="1" x="1206"/>
        <item m="1" x="3372"/>
        <item x="33"/>
        <item m="1" x="3756"/>
        <item m="1" x="3310"/>
        <item m="1" x="2997"/>
        <item m="1" x="4837"/>
        <item m="1" x="2525"/>
        <item x="519"/>
        <item m="1" x="4604"/>
        <item m="1" x="2232"/>
        <item m="1" x="1111"/>
        <item m="1" x="4871"/>
        <item m="1" x="4590"/>
        <item m="1" x="4727"/>
        <item m="1" x="4401"/>
        <item m="1" x="4199"/>
        <item m="1" x="3853"/>
        <item m="1" x="4342"/>
        <item m="1" x="1949"/>
        <item m="1" x="1682"/>
        <item m="1" x="1456"/>
        <item m="1" x="3778"/>
        <item m="1" x="3200"/>
        <item m="1" x="3120"/>
        <item m="1" x="903"/>
        <item m="1" x="1302"/>
        <item m="1" x="3501"/>
        <item x="117"/>
        <item x="85"/>
        <item x="508"/>
        <item m="1" x="2956"/>
        <item m="1" x="2932"/>
        <item m="1" x="1162"/>
        <item m="1" x="2131"/>
        <item m="1" x="3410"/>
        <item m="1" x="3713"/>
        <item m="1" x="3758"/>
        <item m="1" x="1157"/>
        <item m="1" x="2227"/>
        <item m="1" x="2857"/>
        <item m="1" x="1097"/>
        <item m="1" x="4134"/>
        <item m="1" x="3413"/>
        <item m="1" x="1838"/>
        <item m="1" x="2335"/>
        <item m="1" x="3573"/>
        <item x="139"/>
        <item m="1" x="1522"/>
        <item m="1" x="2124"/>
        <item m="1" x="3099"/>
        <item m="1" x="2298"/>
        <item m="1" x="2279"/>
        <item m="1" x="4684"/>
        <item m="1" x="4387"/>
        <item m="1" x="1890"/>
        <item x="28"/>
        <item m="1" x="3061"/>
        <item m="1" x="4589"/>
        <item m="1" x="4458"/>
        <item m="1" x="2821"/>
        <item m="1" x="920"/>
        <item m="1" x="2049"/>
        <item x="297"/>
        <item x="364"/>
        <item m="1" x="1394"/>
        <item m="1" x="858"/>
        <item m="1" x="3912"/>
        <item m="1" x="4128"/>
        <item m="1" x="2433"/>
        <item x="358"/>
        <item x="368"/>
        <item m="1" x="4951"/>
        <item m="1" x="3037"/>
        <item m="1" x="3274"/>
        <item m="1" x="2086"/>
        <item m="1" x="3637"/>
        <item m="1" x="1668"/>
        <item m="1" x="1329"/>
        <item x="281"/>
        <item x="337"/>
        <item m="1" x="2085"/>
        <item m="1" x="649"/>
        <item m="1" x="1319"/>
        <item m="1" x="1914"/>
        <item m="1" x="1551"/>
        <item m="1" x="1525"/>
        <item m="1" x="2258"/>
        <item m="1" x="3262"/>
        <item m="1" x="3197"/>
        <item x="521"/>
        <item m="1" x="3679"/>
        <item m="1" x="4053"/>
        <item x="282"/>
        <item m="1" x="1583"/>
        <item m="1" x="4961"/>
        <item m="1" x="4120"/>
        <item m="1" x="3900"/>
        <item m="1" x="3856"/>
        <item m="1" x="1351"/>
        <item m="1" x="4816"/>
        <item m="1" x="2280"/>
        <item m="1" x="2622"/>
        <item m="1" x="4889"/>
        <item m="1" x="3349"/>
        <item m="1" x="3744"/>
        <item m="1" x="2688"/>
        <item m="1" x="4069"/>
        <item x="462"/>
        <item m="1" x="2036"/>
        <item m="1" x="3025"/>
        <item m="1" x="1422"/>
        <item m="1" x="1075"/>
        <item m="1" x="1950"/>
        <item m="1" x="2466"/>
        <item m="1" x="2704"/>
        <item m="1" x="2037"/>
        <item m="1" x="874"/>
        <item m="1" x="872"/>
        <item m="1" x="4003"/>
        <item m="1" x="2938"/>
        <item m="1" x="1687"/>
        <item m="1" x="2819"/>
        <item m="1" x="1592"/>
        <item m="1" x="2201"/>
        <item m="1" x="4455"/>
        <item m="1" x="1688"/>
        <item m="1" x="1293"/>
        <item m="1" x="3259"/>
        <item m="1" x="2699"/>
        <item m="1" x="4402"/>
        <item m="1" x="2534"/>
        <item m="1" x="2632"/>
        <item m="1" x="4282"/>
        <item m="1" x="1359"/>
        <item m="1" x="1409"/>
        <item m="1" x="1207"/>
        <item m="1" x="4101"/>
        <item m="1" x="3087"/>
        <item m="1" x="2767"/>
        <item m="1" x="2028"/>
        <item m="1" x="1516"/>
        <item x="252"/>
        <item m="1" x="4370"/>
        <item m="1" x="2497"/>
        <item m="1" x="1226"/>
        <item m="1" x="2155"/>
        <item m="1" x="2731"/>
        <item m="1" x="1217"/>
        <item x="204"/>
        <item m="1" x="2789"/>
        <item m="1" x="4060"/>
        <item m="1" x="3384"/>
        <item x="515"/>
        <item m="1" x="2900"/>
        <item m="1" x="686"/>
        <item m="1" x="3398"/>
        <item m="1" x="3890"/>
        <item m="1" x="2631"/>
        <item m="1" x="4587"/>
        <item m="1" x="1953"/>
        <item m="1" x="4856"/>
        <item x="450"/>
        <item m="1" x="3098"/>
        <item m="1" x="3585"/>
        <item x="437"/>
        <item m="1" x="4703"/>
        <item m="1" x="4668"/>
        <item m="1" x="887"/>
        <item m="1" x="2222"/>
        <item x="48"/>
        <item m="1" x="4893"/>
        <item m="1" x="2581"/>
        <item m="1" x="1459"/>
        <item m="1" x="4145"/>
        <item m="1" x="2286"/>
        <item m="1" x="3042"/>
        <item m="1" x="736"/>
        <item m="1" x="4230"/>
        <item m="1" x="2216"/>
        <item m="1" x="1125"/>
        <item m="1" x="3248"/>
        <item m="1" x="2337"/>
        <item m="1" x="3127"/>
        <item m="1" x="1407"/>
        <item m="1" x="3050"/>
        <item m="1" x="2851"/>
        <item m="1" x="4360"/>
        <item m="1" x="3631"/>
        <item m="1" x="4706"/>
        <item m="1" x="2288"/>
        <item m="1" x="2441"/>
        <item m="1" x="2319"/>
        <item x="241"/>
        <item x="126"/>
        <item m="1" x="4456"/>
        <item m="1" x="4649"/>
        <item m="1" x="4011"/>
        <item m="1" x="701"/>
        <item m="1" x="4647"/>
        <item m="1" x="2448"/>
        <item x="289"/>
        <item x="218"/>
        <item m="1" x="3850"/>
        <item m="1" x="1581"/>
        <item m="1" x="3344"/>
        <item m="1" x="615"/>
        <item m="1" x="3301"/>
        <item m="1" x="1922"/>
        <item m="1" x="4823"/>
        <item m="1" x="2048"/>
        <item m="1" x="842"/>
        <item m="1" x="2859"/>
        <item m="1" x="3574"/>
        <item m="1" x="3859"/>
        <item m="1" x="904"/>
        <item m="1" x="2372"/>
        <item m="1" x="1630"/>
        <item m="1" x="2393"/>
        <item m="1" x="2733"/>
        <item m="1" x="3524"/>
        <item m="1" x="1044"/>
        <item m="1" x="2030"/>
        <item m="1" x="1629"/>
        <item m="1" x="4073"/>
        <item m="1" x="4711"/>
        <item m="1" x="4229"/>
        <item m="1" x="2515"/>
        <item m="1" x="4891"/>
        <item m="1" x="2554"/>
        <item m="1" x="3036"/>
        <item m="1" x="3245"/>
        <item m="1" x="1466"/>
        <item m="1" x="4474"/>
        <item x="447"/>
        <item x="201"/>
        <item m="1" x="4263"/>
        <item m="1" x="4157"/>
        <item m="1" x="4151"/>
        <item m="1" x="2066"/>
        <item m="1" x="3131"/>
        <item m="1" x="3021"/>
        <item m="1" x="2490"/>
        <item x="221"/>
        <item m="1" x="2966"/>
        <item m="1" x="4940"/>
        <item m="1" x="4364"/>
        <item m="1" x="3451"/>
        <item m="1" x="2377"/>
        <item m="1" x="2034"/>
        <item m="1" x="1457"/>
        <item m="1" x="2262"/>
        <item m="1" x="4278"/>
        <item m="1" x="4768"/>
        <item m="1" x="2684"/>
        <item m="1" x="3997"/>
        <item m="1" x="1828"/>
        <item m="1" x="3321"/>
        <item m="1" x="4051"/>
        <item m="1" x="720"/>
        <item m="1" x="2707"/>
        <item m="1" x="2316"/>
        <item m="1" x="1012"/>
        <item m="1" x="2872"/>
        <item m="1" x="1697"/>
        <item x="258"/>
        <item m="1" x="2172"/>
        <item m="1" x="948"/>
        <item m="1" x="3107"/>
        <item m="1" x="2806"/>
        <item m="1" x="4939"/>
        <item x="346"/>
        <item m="1" x="611"/>
        <item m="1" x="4762"/>
        <item m="1" x="2737"/>
        <item m="1" x="1324"/>
        <item m="1" x="3439"/>
        <item x="397"/>
        <item m="1" x="4753"/>
        <item m="1" x="2842"/>
        <item m="1" x="3730"/>
        <item m="1" x="1016"/>
        <item m="1" x="3508"/>
        <item m="1" x="3094"/>
        <item x="330"/>
        <item m="1" x="2421"/>
        <item m="1" x="1909"/>
        <item m="1" x="1255"/>
        <item m="1" x="4665"/>
        <item m="1" x="2271"/>
        <item m="1" x="3940"/>
        <item m="1" x="2706"/>
        <item m="1" x="621"/>
        <item m="1" x="2972"/>
        <item m="1" x="2614"/>
        <item m="1" x="4452"/>
        <item m="1" x="3537"/>
        <item x="214"/>
        <item m="1" x="2760"/>
        <item m="1" x="4416"/>
        <item m="1" x="3149"/>
        <item m="1" x="4825"/>
        <item m="1" x="3770"/>
        <item x="172"/>
        <item m="1" x="4742"/>
        <item m="1" x="4952"/>
        <item m="1" x="2720"/>
        <item m="1" x="4695"/>
        <item m="1" x="4308"/>
        <item m="1" x="1245"/>
        <item m="1" x="1998"/>
        <item m="1" x="4305"/>
        <item m="1" x="2824"/>
        <item m="1" x="4404"/>
        <item x="454"/>
        <item m="1" x="4954"/>
        <item m="1" x="4606"/>
        <item m="1" x="4375"/>
        <item m="1" x="1639"/>
        <item m="1" x="4569"/>
        <item m="1" x="3399"/>
        <item m="1" x="4834"/>
        <item m="1" x="3663"/>
        <item m="1" x="3436"/>
        <item m="1" x="4393"/>
        <item m="1" x="1395"/>
        <item x="197"/>
        <item m="1" x="4660"/>
        <item m="1" x="947"/>
        <item m="1" x="4309"/>
        <item m="1" x="3064"/>
        <item m="1" x="1517"/>
        <item m="1" x="3652"/>
        <item m="1" x="1533"/>
        <item m="1" x="1549"/>
        <item m="1" x="1811"/>
        <item m="1" x="3868"/>
        <item m="1" x="1282"/>
        <item m="1" x="3317"/>
        <item m="1" x="4632"/>
        <item m="1" x="4967"/>
        <item m="1" x="2212"/>
        <item m="1" x="3738"/>
        <item m="1" x="3881"/>
        <item m="1" x="4749"/>
        <item m="1" x="3766"/>
        <item m="1" x="4616"/>
        <item m="1" x="2269"/>
        <item m="1" x="2649"/>
        <item m="1" x="4861"/>
        <item m="1" x="3345"/>
        <item x="14"/>
        <item m="1" x="4140"/>
        <item m="1" x="734"/>
        <item m="1" x="4181"/>
        <item m="1" x="3033"/>
        <item m="1" x="1863"/>
        <item x="183"/>
        <item m="1" x="4325"/>
        <item m="1" x="4434"/>
        <item m="1" x="1582"/>
        <item m="1" x="1059"/>
        <item m="1" x="2519"/>
        <item m="1" x="4523"/>
        <item m="1" x="2590"/>
        <item x="242"/>
        <item m="1" x="895"/>
        <item m="1" x="4350"/>
        <item m="1" x="1540"/>
        <item m="1" x="1903"/>
        <item x="362"/>
        <item m="1" x="4150"/>
        <item m="1" x="1731"/>
        <item m="1" x="1526"/>
        <item m="1" x="1468"/>
        <item m="1" x="3386"/>
        <item m="1" x="666"/>
        <item m="1" x="1885"/>
        <item m="1" x="2363"/>
        <item m="1" x="1574"/>
        <item m="1" x="1993"/>
        <item x="50"/>
        <item x="140"/>
        <item m="1" x="3464"/>
        <item m="1" x="1801"/>
        <item x="540"/>
        <item m="1" x="654"/>
        <item m="1" x="794"/>
        <item m="1" x="3786"/>
        <item m="1" x="929"/>
        <item m="1" x="622"/>
        <item m="1" x="4985"/>
        <item m="1" x="1825"/>
        <item m="1" x="4299"/>
        <item m="1" x="1198"/>
        <item m="1" x="2709"/>
        <item m="1" x="1897"/>
        <item m="1" x="2710"/>
        <item m="1" x="1674"/>
        <item m="1" x="2817"/>
        <item m="1" x="1265"/>
        <item m="1" x="1711"/>
        <item m="1" x="956"/>
        <item m="1" x="3427"/>
        <item m="1" x="1253"/>
        <item m="1" x="3142"/>
        <item m="1" x="1772"/>
        <item m="1" x="2613"/>
        <item m="1" x="1756"/>
        <item m="1" x="4646"/>
        <item m="1" x="4721"/>
        <item m="1" x="2404"/>
        <item m="1" x="2660"/>
        <item m="1" x="4786"/>
        <item m="1" x="3654"/>
        <item m="1" x="1790"/>
        <item x="46"/>
        <item m="1" x="4845"/>
        <item m="1" x="3760"/>
        <item m="1" x="4366"/>
        <item m="1" x="4906"/>
        <item m="1" x="4716"/>
        <item m="1" x="2620"/>
        <item m="1" x="3421"/>
        <item m="1" x="4554"/>
        <item m="1" x="2188"/>
        <item m="1" x="3309"/>
        <item m="1" x="3419"/>
        <item m="1" x="2695"/>
        <item m="1" x="2491"/>
        <item m="1" x="4244"/>
        <item x="399"/>
        <item x="489"/>
        <item m="1" x="3531"/>
        <item m="1" x="2195"/>
        <item m="1" x="1774"/>
        <item m="1" x="3653"/>
        <item m="1" x="2721"/>
        <item m="1" x="4099"/>
        <item m="1" x="1975"/>
        <item x="404"/>
        <item m="1" x="4383"/>
        <item m="1" x="1087"/>
        <item m="1" x="3342"/>
        <item m="1" x="774"/>
        <item m="1" x="4185"/>
        <item m="1" x="4396"/>
        <item x="545"/>
        <item m="1" x="4621"/>
        <item m="1" x="4793"/>
        <item m="1" x="1703"/>
        <item x="313"/>
        <item m="1" x="1896"/>
        <item m="1" x="1130"/>
        <item x="572"/>
        <item m="1" x="4737"/>
        <item m="1" x="653"/>
        <item m="1" x="4233"/>
        <item m="1" x="1037"/>
        <item m="1" x="2446"/>
        <item x="527"/>
        <item m="1" x="4413"/>
        <item m="1" x="2109"/>
        <item m="1" x="1033"/>
        <item m="1" x="4842"/>
        <item m="1" x="647"/>
        <item m="1" x="2221"/>
        <item m="1" x="2927"/>
        <item m="1" x="1428"/>
        <item m="1" x="4881"/>
        <item m="1" x="1787"/>
        <item m="1" x="2107"/>
        <item m="1" x="1314"/>
        <item x="9"/>
        <item m="1" x="2416"/>
        <item m="1" x="2994"/>
        <item m="1" x="3925"/>
        <item m="1" x="994"/>
        <item m="1" x="3547"/>
        <item x="211"/>
        <item m="1" x="924"/>
        <item m="1" x="3489"/>
        <item m="1" x="3121"/>
        <item m="1" x="4110"/>
        <item m="1" x="2739"/>
        <item m="1" x="2784"/>
        <item m="1" x="3984"/>
        <item m="1" x="2551"/>
        <item m="1" x="4643"/>
        <item m="1" x="4717"/>
        <item m="1" x="2018"/>
        <item m="1" x="3722"/>
        <item m="1" x="1571"/>
        <item m="1" x="1176"/>
        <item m="1" x="2083"/>
        <item m="1" x="1938"/>
        <item m="1" x="2260"/>
        <item m="1" x="1373"/>
        <item m="1" x="3745"/>
        <item m="1" x="2659"/>
        <item m="1" x="2294"/>
        <item m="1" x="3998"/>
        <item m="1" x="4613"/>
        <item x="158"/>
        <item x="10"/>
        <item m="1" x="3134"/>
        <item x="12"/>
        <item m="1" x="2134"/>
        <item m="1" x="2539"/>
        <item m="1" x="1121"/>
        <item m="1" x="2440"/>
        <item x="596"/>
        <item m="1" x="2666"/>
        <item m="1" x="656"/>
        <item m="1" x="2983"/>
        <item m="1" x="2289"/>
        <item m="1" x="3916"/>
        <item m="1" x="4575"/>
        <item m="1" x="2044"/>
        <item m="1" x="4211"/>
        <item m="1" x="3179"/>
        <item m="1" x="2992"/>
        <item m="1" x="1221"/>
        <item m="1" x="1680"/>
        <item m="1" x="3575"/>
        <item m="1" x="3563"/>
        <item m="1" x="4944"/>
        <item m="1" x="2593"/>
        <item m="1" x="788"/>
        <item x="159"/>
        <item x="225"/>
        <item m="1" x="3534"/>
        <item m="1" x="3114"/>
        <item x="223"/>
        <item m="1" x="880"/>
        <item m="1" x="715"/>
        <item m="1" x="4222"/>
        <item m="1" x="1211"/>
        <item m="1" x="1350"/>
        <item m="1" x="815"/>
        <item m="1" x="863"/>
        <item m="1" x="2272"/>
        <item m="1" x="2418"/>
        <item m="1" x="2250"/>
        <item m="1" x="3788"/>
        <item m="1" x="2424"/>
        <item m="1" x="2501"/>
        <item m="1" x="4205"/>
        <item m="1" x="1732"/>
        <item m="1" x="2636"/>
        <item m="1" x="2371"/>
        <item m="1" x="3463"/>
        <item m="1" x="4361"/>
        <item x="110"/>
        <item m="1" x="2204"/>
        <item m="1" x="665"/>
        <item m="1" x="1848"/>
        <item x="123"/>
        <item m="1" x="962"/>
        <item m="1" x="3377"/>
        <item m="1" x="2287"/>
        <item m="1" x="2621"/>
        <item m="1" x="3805"/>
        <item m="1" x="3837"/>
        <item m="1" x="2362"/>
        <item x="57"/>
        <item m="1" x="4570"/>
        <item m="1" x="4221"/>
        <item m="1" x="2096"/>
        <item m="1" x="1719"/>
        <item m="1" x="4908"/>
        <item m="1" x="3080"/>
        <item m="1" x="2571"/>
        <item m="1" x="3175"/>
        <item m="1" x="4846"/>
        <item m="1" x="2848"/>
        <item m="1" x="3621"/>
        <item m="1" x="1421"/>
        <item m="1" x="1880"/>
        <item m="1" x="1643"/>
        <item x="319"/>
        <item m="1" x="2233"/>
        <item m="1" x="1556"/>
        <item m="1" x="4141"/>
        <item m="1" x="3263"/>
        <item m="1" x="2183"/>
        <item m="1" x="3568"/>
        <item m="1" x="3960"/>
        <item m="1" x="3688"/>
        <item m="1" x="3240"/>
        <item m="1" x="1446"/>
        <item m="1" x="722"/>
        <item m="1" x="3887"/>
        <item m="1" x="1626"/>
        <item m="1" x="3239"/>
        <item m="1" x="2020"/>
        <item m="1" x="3751"/>
        <item m="1" x="4652"/>
        <item m="1" x="3503"/>
        <item m="1" x="2017"/>
        <item m="1" x="1830"/>
        <item m="1" x="2521"/>
        <item m="1" x="2484"/>
        <item m="1" x="662"/>
        <item m="1" x="1444"/>
        <item m="1" x="4540"/>
        <item m="1" x="1658"/>
        <item m="1" x="900"/>
        <item m="1" x="3625"/>
        <item m="1" x="4295"/>
        <item m="1" x="2091"/>
        <item m="1" x="4730"/>
        <item m="1" x="1826"/>
        <item x="185"/>
        <item m="1" x="3643"/>
        <item m="1" x="1406"/>
        <item m="1" x="1960"/>
        <item x="538"/>
        <item m="1" x="3918"/>
        <item m="1" x="2890"/>
        <item m="1" x="1281"/>
        <item m="1" x="3096"/>
        <item m="1" x="1666"/>
        <item m="1" x="4596"/>
        <item m="1" x="2991"/>
        <item m="1" x="1995"/>
        <item x="135"/>
        <item x="102"/>
        <item m="1" x="4323"/>
        <item m="1" x="3407"/>
        <item m="1" x="4806"/>
        <item m="1" x="3793"/>
        <item m="1" x="4236"/>
        <item m="1" x="2378"/>
        <item m="1" x="1429"/>
        <item m="1" x="1876"/>
        <item m="1" x="3605"/>
        <item m="1" x="3118"/>
        <item m="1" x="2470"/>
        <item m="1" x="2121"/>
        <item m="1" x="4125"/>
        <item m="1" x="1567"/>
        <item m="1" x="4901"/>
        <item m="1" x="4567"/>
        <item x="449"/>
        <item x="266"/>
        <item x="38"/>
        <item m="1" x="4921"/>
        <item m="1" x="2009"/>
        <item m="1" x="2578"/>
        <item m="1" x="3645"/>
        <item m="1" x="3038"/>
        <item m="1" x="1401"/>
        <item m="1" x="2462"/>
        <item m="1" x="4783"/>
        <item x="250"/>
        <item m="1" x="2618"/>
        <item m="1" x="4669"/>
        <item m="1" x="4417"/>
        <item m="1" x="2863"/>
        <item m="1" x="879"/>
        <item m="1" x="4479"/>
        <item x="122"/>
        <item m="1" x="4819"/>
        <item m="1" x="2166"/>
        <item m="1" x="2478"/>
        <item m="1" x="1701"/>
        <item m="1" x="831"/>
        <item m="1" x="4500"/>
        <item m="1" x="1011"/>
        <item x="425"/>
        <item m="1" x="690"/>
        <item x="264"/>
        <item x="124"/>
        <item m="1" x="2608"/>
        <item m="1" x="3826"/>
        <item m="1" x="2929"/>
        <item x="402"/>
        <item x="76"/>
        <item m="1" x="4916"/>
        <item x="255"/>
        <item m="1" x="3970"/>
        <item x="59"/>
        <item x="97"/>
        <item m="1" x="2768"/>
        <item m="1" x="1161"/>
        <item m="1" x="3370"/>
        <item m="1" x="2985"/>
        <item m="1" x="3141"/>
        <item x="496"/>
        <item m="1" x="2357"/>
        <item x="175"/>
        <item m="1" x="2549"/>
        <item m="1" x="1267"/>
        <item m="1" x="1679"/>
        <item m="1" x="2041"/>
        <item m="1" x="630"/>
        <item x="532"/>
        <item m="1" x="3929"/>
        <item m="1" x="1291"/>
        <item m="1" x="3393"/>
        <item m="1" x="3799"/>
        <item m="1" x="1257"/>
        <item m="1" x="3860"/>
        <item m="1" x="3670"/>
        <item m="1" x="2339"/>
        <item m="1" x="2460"/>
        <item m="1" x="2595"/>
        <item x="25"/>
        <item m="1" x="1193"/>
        <item x="452"/>
        <item m="1" x="1080"/>
        <item x="72"/>
        <item m="1" x="1005"/>
        <item m="1" x="1026"/>
        <item x="549"/>
        <item m="1" x="4529"/>
        <item m="1" x="3833"/>
        <item m="1" x="3157"/>
        <item m="1" x="2453"/>
        <item m="1" x="1452"/>
        <item m="1" x="3818"/>
        <item m="1" x="2761"/>
        <item x="202"/>
        <item m="1" x="1829"/>
        <item m="1" x="3364"/>
        <item m="1" x="4930"/>
        <item m="1" x="3387"/>
        <item m="1" x="2572"/>
        <item m="1" x="889"/>
        <item x="363"/>
        <item m="1" x="1562"/>
        <item x="4"/>
        <item m="1" x="2000"/>
        <item m="1" x="3493"/>
        <item m="1" x="3138"/>
        <item m="1" x="4637"/>
        <item m="1" x="1760"/>
        <item m="1" x="2705"/>
        <item m="1" x="1410"/>
        <item m="1" x="2366"/>
        <item m="1" x="4088"/>
        <item m="1" x="4374"/>
        <item m="1" x="1915"/>
        <item x="47"/>
        <item m="1" x="4333"/>
        <item m="1" x="2754"/>
        <item m="1" x="1821"/>
        <item m="1" x="1056"/>
        <item m="1" x="2813"/>
        <item x="564"/>
        <item m="1" x="707"/>
        <item m="1" x="1509"/>
        <item m="1" x="1768"/>
        <item m="1" x="4536"/>
        <item m="1" x="1738"/>
        <item m="1" x="1769"/>
        <item m="1" x="3034"/>
        <item m="1" x="4256"/>
        <item m="1" x="1363"/>
        <item m="1" x="1991"/>
        <item m="1" x="4623"/>
        <item m="1" x="2224"/>
        <item m="1" x="2449"/>
        <item m="1" x="4179"/>
        <item m="1" x="2500"/>
        <item m="1" x="2276"/>
        <item m="1" x="2282"/>
        <item m="1" x="4080"/>
        <item m="1" x="1770"/>
        <item x="409"/>
        <item m="1" x="3708"/>
        <item m="1" x="1405"/>
        <item m="1" x="4441"/>
        <item m="1" x="3195"/>
        <item m="1" x="4258"/>
        <item m="1" x="4740"/>
        <item m="1" x="3499"/>
        <item x="226"/>
        <item m="1" x="2812"/>
        <item x="323"/>
        <item m="1" x="2850"/>
        <item m="1" x="2617"/>
        <item m="1" x="2247"/>
        <item m="1" x="4686"/>
        <item m="1" x="2323"/>
        <item m="1" x="4154"/>
        <item m="1" x="1843"/>
        <item m="1" x="1040"/>
        <item m="1" x="3214"/>
        <item m="1" x="3299"/>
        <item m="1" x="4519"/>
        <item m="1" x="4841"/>
        <item m="1" x="3646"/>
        <item m="1" x="4168"/>
        <item m="1" x="1818"/>
        <item x="51"/>
        <item m="1" x="4508"/>
        <item m="1" x="3834"/>
        <item x="465"/>
        <item m="1" x="1907"/>
        <item x="194"/>
        <item m="1" x="1793"/>
        <item m="1" x="3206"/>
        <item m="1" x="1112"/>
        <item m="1" x="3581"/>
        <item m="1" x="2918"/>
        <item m="1" x="4050"/>
        <item m="1" x="4447"/>
        <item m="1" x="2365"/>
        <item m="1" x="1617"/>
        <item m="1" x="1467"/>
        <item m="1" x="2980"/>
        <item m="1" x="3634"/>
        <item m="1" x="1726"/>
        <item x="302"/>
        <item x="555"/>
        <item m="1" x="2011"/>
        <item x="121"/>
        <item m="1" x="3264"/>
        <item m="1" x="3155"/>
        <item m="1" x="1188"/>
        <item m="1" x="4126"/>
        <item x="338"/>
        <item m="1" x="4314"/>
        <item m="1" x="3956"/>
        <item x="473"/>
        <item x="100"/>
        <item x="380"/>
        <item m="1" x="2931"/>
        <item m="1" x="1413"/>
        <item m="1" x="4573"/>
        <item m="1" x="4066"/>
        <item m="1" x="1175"/>
        <item m="1" x="4464"/>
        <item m="1" x="2403"/>
        <item m="1" x="2255"/>
        <item m="1" x="1298"/>
        <item m="1" x="2119"/>
        <item m="1" x="1610"/>
        <item m="1" x="3698"/>
        <item m="1" x="4644"/>
        <item m="1" x="4935"/>
        <item m="1" x="3180"/>
        <item m="1" x="4321"/>
        <item m="1" x="2800"/>
        <item m="1" x="2174"/>
        <item m="1" x="989"/>
        <item m="1" x="4504"/>
        <item m="1" x="1899"/>
        <item m="1" x="4317"/>
        <item x="260"/>
        <item m="1" x="2023"/>
        <item m="1" x="3075"/>
        <item m="1" x="3210"/>
        <item m="1" x="3158"/>
        <item m="1" x="2425"/>
        <item m="1" x="1187"/>
        <item m="1" x="3502"/>
        <item m="1" x="1425"/>
        <item m="1" x="708"/>
        <item m="1" x="4388"/>
        <item m="1" x="1455"/>
        <item m="1" x="4617"/>
        <item m="1" x="3752"/>
        <item x="476"/>
        <item x="536"/>
        <item m="1" x="2402"/>
        <item m="1" x="4568"/>
        <item m="1" x="3046"/>
        <item m="1" x="3334"/>
        <item x="562"/>
        <item x="23"/>
        <item m="1" x="1654"/>
        <item m="1" x="4772"/>
        <item m="1" x="2407"/>
        <item m="1" x="1747"/>
        <item m="1" x="2158"/>
        <item x="533"/>
        <item x="293"/>
        <item x="170"/>
        <item m="1" x="4487"/>
        <item m="1" x="3796"/>
        <item x="474"/>
        <item m="1" x="3664"/>
        <item m="1" x="4909"/>
        <item m="1" x="4068"/>
        <item m="1" x="2788"/>
        <item m="1" x="3587"/>
        <item m="1" x="899"/>
        <item m="1" x="1504"/>
        <item m="1" x="4381"/>
        <item m="1" x="3056"/>
        <item x="370"/>
        <item x="510"/>
        <item m="1" x="3474"/>
        <item m="1" x="4890"/>
        <item m="1" x="1931"/>
        <item m="1" x="4252"/>
        <item m="1" x="1501"/>
        <item m="1" x="1616"/>
        <item m="1" x="3798"/>
        <item m="1" x="2596"/>
        <item m="1" x="901"/>
        <item m="1" x="1332"/>
        <item m="1" x="3865"/>
        <item m="1" x="4738"/>
        <item m="1" x="3718"/>
        <item m="1" x="2428"/>
        <item m="1" x="2300"/>
        <item x="58"/>
        <item m="1" x="4329"/>
        <item m="1" x="2609"/>
        <item m="1" x="1587"/>
        <item m="1" x="4946"/>
        <item m="1" x="2701"/>
        <item m="1" x="1990"/>
        <item m="1" x="3129"/>
        <item m="1" x="2771"/>
        <item m="1" x="2917"/>
        <item m="1" x="2414"/>
        <item m="1" x="2376"/>
        <item x="417"/>
        <item m="1" x="2582"/>
        <item m="1" x="2243"/>
        <item m="1" x="3311"/>
        <item m="1" x="1448"/>
        <item m="1" x="2012"/>
        <item m="1" x="3272"/>
        <item m="1" x="1002"/>
        <item x="513"/>
        <item m="1" x="2989"/>
        <item x="464"/>
        <item m="1" x="3346"/>
        <item m="1" x="2661"/>
        <item m="1" x="3011"/>
        <item m="1" x="4047"/>
        <item m="1" x="3168"/>
        <item x="8"/>
        <item m="1" x="2073"/>
        <item m="1" x="2003"/>
        <item m="1" x="814"/>
        <item x="188"/>
        <item m="1" x="3622"/>
        <item m="1" x="1685"/>
        <item m="1" x="1589"/>
        <item m="1" x="1146"/>
        <item m="1" x="3367"/>
        <item m="1" x="4603"/>
        <item m="1" x="3496"/>
        <item m="1" x="1229"/>
        <item m="1" x="1388"/>
        <item m="1" x="1925"/>
        <item x="336"/>
        <item m="1" x="4431"/>
        <item m="1" x="4618"/>
        <item m="1" x="2668"/>
        <item m="1" x="4503"/>
        <item m="1" x="2147"/>
        <item m="1" x="2081"/>
        <item x="53"/>
        <item m="1" x="1593"/>
        <item m="1" x="3057"/>
        <item m="1" x="3675"/>
        <item x="325"/>
        <item x="182"/>
        <item m="1" x="4714"/>
        <item m="1" x="2869"/>
        <item m="1" x="4726"/>
        <item x="523"/>
        <item m="1" x="2067"/>
        <item m="1" x="4615"/>
        <item m="1" x="713"/>
        <item m="1" x="3807"/>
        <item m="1" x="4868"/>
        <item x="468"/>
        <item m="1" x="2524"/>
        <item m="1" x="651"/>
        <item m="1" x="2130"/>
        <item x="229"/>
        <item x="176"/>
        <item m="1" x="1137"/>
        <item m="1" x="2162"/>
        <item m="1" x="3012"/>
        <item m="1" x="3469"/>
        <item m="1" x="1651"/>
        <item m="1" x="2611"/>
        <item m="1" x="3186"/>
        <item x="62"/>
        <item x="360"/>
        <item m="1" x="4705"/>
        <item x="215"/>
        <item m="1" x="914"/>
        <item m="1" x="2778"/>
        <item m="1" x="1631"/>
        <item m="1" x="1608"/>
        <item m="1" x="2270"/>
        <item m="1" x="2583"/>
        <item m="1" x="2971"/>
        <item m="1" x="1367"/>
        <item m="1" x="4680"/>
        <item m="1" x="3800"/>
        <item m="1" x="1312"/>
        <item m="1" x="3455"/>
        <item m="1" x="2235"/>
        <item m="1" x="1678"/>
        <item m="1" x="4797"/>
        <item m="1" x="1494"/>
        <item m="1" x="1066"/>
        <item x="32"/>
        <item m="1" x="4800"/>
        <item m="1" x="4805"/>
        <item m="1" x="4155"/>
        <item x="442"/>
        <item m="1" x="2912"/>
        <item x="199"/>
        <item m="1" x="4984"/>
        <item m="1" x="2314"/>
        <item m="1" x="3823"/>
        <item x="392"/>
        <item m="1" x="639"/>
        <item m="1" x="1692"/>
        <item m="1" x="4657"/>
        <item x="280"/>
        <item x="342"/>
        <item m="1" x="3968"/>
        <item m="1" x="4905"/>
        <item m="1" x="3993"/>
        <item m="1" x="1792"/>
        <item m="1" x="1462"/>
        <item x="341"/>
        <item m="1" x="4980"/>
        <item m="1" x="3446"/>
        <item m="1" x="2299"/>
        <item m="1" x="3105"/>
        <item m="1" x="4851"/>
        <item x="230"/>
        <item m="1" x="4725"/>
        <item m="1" x="733"/>
        <item m="1" x="2936"/>
        <item m="1" x="4276"/>
        <item m="1" x="3996"/>
        <item m="1" x="2982"/>
        <item m="1" x="2226"/>
        <item m="1" x="3316"/>
        <item m="1" x="2809"/>
        <item m="1" x="3498"/>
        <item m="1" x="4492"/>
        <item m="1" x="4696"/>
        <item m="1" x="1733"/>
        <item m="1" x="3521"/>
        <item m="1" x="1021"/>
        <item m="1" x="4874"/>
        <item m="1" x="3835"/>
        <item m="1" x="1921"/>
        <item m="1" x="681"/>
        <item m="1" x="3103"/>
        <item m="1" x="1304"/>
        <item m="1" x="2178"/>
        <item m="1" x="4390"/>
        <item m="1" x="2445"/>
        <item m="1" x="1621"/>
        <item m="1" x="2862"/>
        <item m="1" x="4539"/>
        <item m="1" x="1317"/>
        <item m="1" x="3055"/>
        <item x="387"/>
        <item m="1" x="3173"/>
        <item m="1" x="2264"/>
        <item m="1" x="4005"/>
        <item m="1" x="3883"/>
        <item m="1" x="2219"/>
        <item m="1" x="2452"/>
        <item m="1" x="1086"/>
        <item m="1" x="4351"/>
        <item m="1" x="1961"/>
        <item m="1" x="2838"/>
        <item m="1" x="2136"/>
        <item m="1" x="1419"/>
        <item m="1" x="1715"/>
        <item x="245"/>
        <item m="1" x="3719"/>
        <item m="1" x="1107"/>
        <item m="1" x="1168"/>
        <item m="1" x="2237"/>
        <item m="1" x="4437"/>
        <item m="1" x="4260"/>
        <item m="1" x="3330"/>
        <item x="486"/>
        <item m="1" x="3806"/>
        <item m="1" x="1905"/>
        <item m="1" x="1416"/>
        <item m="1" x="3867"/>
        <item m="1" x="2648"/>
        <item m="1" x="2027"/>
        <item m="1" x="2140"/>
        <item x="534"/>
        <item m="1" x="696"/>
        <item m="1" x="2004"/>
        <item m="1" x="3473"/>
        <item m="1" x="4443"/>
        <item m="1" x="3236"/>
        <item x="324"/>
        <item m="1" x="2432"/>
        <item m="1" x="2231"/>
        <item m="1" x="3629"/>
        <item m="1" x="954"/>
        <item m="1" x="2591"/>
        <item m="1" x="764"/>
        <item m="1" x="3052"/>
        <item m="1" x="1043"/>
        <item m="1" x="753"/>
        <item m="1" x="2059"/>
        <item m="1" x="4807"/>
        <item m="1" x="4779"/>
        <item m="1" x="2651"/>
        <item m="1" x="1911"/>
        <item m="1" x="3727"/>
        <item m="1" x="4770"/>
        <item m="1" x="3102"/>
        <item m="1" x="976"/>
        <item x="128"/>
        <item m="1" x="1231"/>
        <item m="1" x="4516"/>
        <item m="1" x="4349"/>
        <item m="1" x="2879"/>
        <item m="1" x="2161"/>
        <item m="1" x="1505"/>
        <item m="1" x="2295"/>
        <item m="1" x="3481"/>
        <item m="1" x="1450"/>
        <item m="1" x="2840"/>
        <item m="1" x="946"/>
        <item m="1" x="3388"/>
        <item m="1" x="944"/>
        <item m="1" x="2007"/>
        <item m="1" x="2766"/>
        <item m="1" x="2743"/>
        <item m="1" x="3847"/>
        <item m="1" x="4238"/>
        <item m="1" x="4609"/>
        <item m="1" x="3276"/>
        <item m="1" x="2429"/>
        <item x="155"/>
        <item x="479"/>
        <item m="1" x="3323"/>
        <item m="1" x="3047"/>
        <item m="1" x="2829"/>
        <item m="1" x="4184"/>
        <item m="1" x="4810"/>
        <item m="1" x="2889"/>
        <item x="151"/>
        <item m="1" x="3024"/>
        <item m="1" x="2647"/>
        <item m="1" x="2910"/>
        <item m="1" x="1867"/>
        <item m="1" x="3789"/>
        <item m="1" x="1919"/>
        <item m="1" x="3445"/>
        <item m="1" x="4745"/>
        <item m="1" x="2867"/>
        <item m="1" x="2555"/>
        <item m="1" x="1497"/>
        <item m="1" x="782"/>
        <item m="1" x="2548"/>
        <item m="1" x="2038"/>
        <item m="1" x="3953"/>
        <item m="1" x="3328"/>
        <item m="1" x="730"/>
        <item m="1" x="3028"/>
        <item m="1" x="1566"/>
        <item m="1" x="3523"/>
        <item m="1" x="3209"/>
        <item m="1" x="3813"/>
        <item m="1" x="1241"/>
        <item m="1" x="1528"/>
        <item m="1" x="4553"/>
        <item m="1" x="2965"/>
        <item m="1" x="1177"/>
        <item m="1" x="3828"/>
        <item m="1" x="1936"/>
        <item m="1" x="4674"/>
        <item m="1" x="3290"/>
        <item m="1" x="2450"/>
        <item m="1" x="3972"/>
        <item m="1" x="4186"/>
        <item m="1" x="1085"/>
        <item m="1" x="835"/>
        <item m="1" x="3382"/>
        <item m="1" x="4630"/>
        <item m="1" x="2334"/>
        <item m="1" x="3913"/>
        <item m="1" x="4602"/>
        <item m="1" x="4791"/>
        <item m="1" x="1776"/>
        <item m="1" x="2186"/>
        <item m="1" x="2471"/>
        <item m="1" x="2748"/>
        <item m="1" x="2937"/>
        <item m="1" x="2355"/>
        <item m="1" x="1641"/>
        <item m="1" x="624"/>
        <item m="1" x="1805"/>
        <item m="1" x="2408"/>
        <item x="306"/>
        <item m="1" x="2960"/>
        <item x="469"/>
        <item m="1" x="4079"/>
        <item m="1" x="3191"/>
        <item m="1" x="1073"/>
        <item x="169"/>
        <item x="487"/>
        <item x="497"/>
        <item m="1" x="663"/>
        <item m="1" x="4130"/>
        <item m="1" x="1620"/>
        <item m="1" x="961"/>
        <item x="457"/>
        <item m="1" x="2092"/>
        <item m="1" x="1389"/>
        <item m="1" x="1536"/>
        <item m="1" x="1718"/>
        <item m="1" x="3383"/>
        <item m="1" x="3641"/>
        <item m="1" x="3973"/>
        <item m="1" x="4241"/>
        <item m="1" x="1238"/>
        <item m="1" x="4584"/>
        <item x="548"/>
        <item m="1" x="4243"/>
        <item m="1" x="4486"/>
        <item m="1" x="4682"/>
        <item m="1" x="1957"/>
        <item m="1" x="4021"/>
        <item m="1" x="2949"/>
        <item m="1" x="2345"/>
        <item m="1" x="3829"/>
        <item m="1" x="4748"/>
        <item m="1" x="3838"/>
        <item m="1" x="1365"/>
        <item m="1" x="1740"/>
        <item x="287"/>
        <item m="1" x="4718"/>
        <item x="171"/>
        <item m="1" x="2978"/>
        <item m="1" x="1665"/>
        <item m="1" x="2033"/>
        <item m="1" x="3189"/>
        <item m="1" x="980"/>
        <item m="1" x="1764"/>
        <item m="1" x="3164"/>
        <item m="1" x="1166"/>
        <item m="1" x="4700"/>
        <item x="21"/>
        <item m="1" x="3392"/>
        <item m="1" x="3549"/>
        <item x="83"/>
        <item m="1" x="1695"/>
        <item m="1" x="2438"/>
        <item m="1" x="4733"/>
        <item x="483"/>
        <item m="1" x="3071"/>
        <item m="1" x="2858"/>
        <item m="1" x="4365"/>
        <item m="1" x="1249"/>
        <item m="1" x="3934"/>
        <item m="1" x="4265"/>
        <item m="1" x="1881"/>
        <item m="1" x="4758"/>
        <item m="1" x="4638"/>
        <item m="1" x="3162"/>
        <item m="1" x="3084"/>
        <item m="1" x="4855"/>
        <item m="1" x="4759"/>
        <item m="1" x="992"/>
        <item m="1" x="3237"/>
        <item m="1" x="4563"/>
        <item x="367"/>
        <item m="1" x="3746"/>
        <item m="1" x="767"/>
        <item m="1" x="852"/>
        <item m="1" x="1321"/>
        <item m="1" x="2772"/>
        <item m="1" x="3893"/>
        <item m="1" x="1370"/>
        <item m="1" x="2911"/>
        <item m="1" x="1484"/>
        <item m="1" x="1672"/>
        <item m="1" x="2488"/>
        <item m="1" x="3772"/>
        <item m="1" x="3512"/>
        <item m="1" x="2657"/>
        <item m="1" x="2682"/>
        <item m="1" x="1798"/>
        <item m="1" x="3059"/>
        <item m="1" x="3729"/>
        <item m="1" x="609"/>
        <item m="1" x="1989"/>
        <item m="1" x="1028"/>
        <item m="1" x="1827"/>
        <item m="1" x="4862"/>
        <item m="1" x="2600"/>
        <item m="1" x="4625"/>
        <item m="1" x="2580"/>
        <item m="1" x="2097"/>
        <item m="1" x="3544"/>
        <item m="1" x="3728"/>
        <item m="1" x="1662"/>
        <item m="1" x="3716"/>
        <item m="1" x="3308"/>
        <item m="1" x="3733"/>
        <item m="1" x="4367"/>
        <item x="484"/>
        <item m="1" x="4065"/>
        <item x="146"/>
        <item x="195"/>
        <item m="1" x="712"/>
        <item m="1" x="840"/>
        <item m="1" x="657"/>
        <item m="1" x="1027"/>
        <item m="1" x="3119"/>
        <item m="1" x="3009"/>
        <item m="1" x="2520"/>
        <item m="1" x="1179"/>
        <item m="1" x="2437"/>
        <item x="93"/>
        <item m="1" x="2476"/>
        <item m="1" x="3681"/>
        <item m="1" x="812"/>
        <item m="1" x="3685"/>
        <item x="99"/>
        <item m="1" x="786"/>
        <item x="153"/>
        <item m="1" x="4883"/>
        <item m="1" x="1480"/>
        <item m="1" x="1051"/>
        <item x="348"/>
        <item m="1" x="4739"/>
        <item m="1" x="3338"/>
        <item m="1" x="2275"/>
        <item m="1" x="678"/>
        <item x="52"/>
        <item m="1" x="3666"/>
        <item m="1" x="2014"/>
        <item m="1" x="1136"/>
        <item x="187"/>
        <item m="1" x="1427"/>
        <item m="1" x="1971"/>
        <item m="1" x="1661"/>
        <item m="1" x="4143"/>
        <item m="1" x="1878"/>
        <item m="1" x="1274"/>
        <item m="1" x="4548"/>
        <item m="1" x="4177"/>
        <item m="1" x="1244"/>
        <item m="1" x="2481"/>
        <item x="518"/>
        <item m="1" x="1702"/>
        <item m="1" x="1809"/>
        <item m="1" x="2974"/>
        <item x="203"/>
        <item m="1" x="4015"/>
        <item m="1" x="3401"/>
        <item m="1" x="2853"/>
        <item x="488"/>
        <item x="427"/>
        <item x="355"/>
        <item m="1" x="2029"/>
        <item x="381"/>
        <item m="1" x="2364"/>
        <item x="233"/>
        <item m="1" x="610"/>
        <item m="1" x="3242"/>
        <item m="1" x="1954"/>
        <item m="1" x="2906"/>
        <item m="1" x="3329"/>
        <item m="1" x="3016"/>
        <item m="1" x="3014"/>
        <item m="1" x="2728"/>
        <item m="1" x="770"/>
        <item m="1" x="2914"/>
        <item m="1" x="1886"/>
        <item x="118"/>
        <item m="1" x="2015"/>
        <item x="31"/>
        <item m="1" x="964"/>
        <item m="1" x="2248"/>
        <item m="1" x="2175"/>
        <item x="71"/>
        <item m="1" x="1775"/>
        <item m="1" x="3220"/>
        <item m="1" x="2261"/>
        <item m="1" x="888"/>
        <item m="1" x="919"/>
        <item m="1" x="4809"/>
        <item x="428"/>
        <item m="1" x="1943"/>
        <item m="1" x="3580"/>
        <item m="1" x="2536"/>
        <item m="1" x="2541"/>
        <item m="1" x="1440"/>
        <item m="1" x="2967"/>
        <item m="1" x="1260"/>
        <item m="1" x="2093"/>
        <item m="1" x="3990"/>
        <item m="1" x="669"/>
        <item m="1" x="4977"/>
        <item m="1" x="625"/>
        <item m="1" x="2095"/>
        <item m="1" x="3926"/>
        <item m="1" x="2847"/>
        <item m="1" x="2322"/>
        <item m="1" x="2855"/>
        <item m="1" x="4018"/>
        <item m="1" x="2194"/>
        <item m="1" x="4697"/>
        <item m="1" x="2327"/>
        <item m="1" x="1564"/>
        <item m="1" x="3771"/>
        <item x="290"/>
        <item x="350"/>
        <item m="1" x="2898"/>
        <item m="1" x="3006"/>
        <item m="1" x="737"/>
        <item m="1" x="4886"/>
        <item m="1" x="1104"/>
        <item m="1" x="4775"/>
        <item m="1" x="1783"/>
        <item m="1" x="3880"/>
        <item x="415"/>
        <item x="589"/>
        <item x="511"/>
        <item m="1" x="957"/>
        <item m="1" x="2123"/>
        <item m="1" x="4611"/>
        <item m="1" x="4828"/>
        <item m="1" x="3485"/>
        <item m="1" x="1502"/>
        <item m="1" x="4924"/>
        <item m="1" x="3418"/>
        <item m="1" x="886"/>
        <item m="1" x="4645"/>
        <item m="1" x="1182"/>
        <item m="1" x="894"/>
        <item m="1" x="4158"/>
        <item m="1" x="3739"/>
        <item m="1" x="3556"/>
        <item m="1" x="2597"/>
        <item m="1" x="4301"/>
        <item m="1" x="667"/>
        <item x="138"/>
        <item m="1" x="2691"/>
        <item m="1" x="1705"/>
        <item x="18"/>
        <item m="1" x="4036"/>
        <item m="1" x="3018"/>
        <item m="1" x="1940"/>
        <item m="1" x="1232"/>
        <item m="1" x="2508"/>
        <item m="1" x="2401"/>
        <item m="1" x="1690"/>
        <item m="1" x="4505"/>
        <item m="1" x="1788"/>
        <item m="1" x="1699"/>
        <item m="1" x="2726"/>
        <item m="1" x="2950"/>
        <item m="1" x="3425"/>
        <item m="1" x="834"/>
        <item m="1" x="4319"/>
        <item m="1" x="2002"/>
        <item x="284"/>
        <item m="1" x="3097"/>
        <item m="1" x="1183"/>
        <item m="1" x="3640"/>
        <item m="1" x="1134"/>
        <item m="1" x="4866"/>
        <item m="1" x="4747"/>
        <item m="1" x="2347"/>
        <item m="1" x="3448"/>
        <item m="1" x="703"/>
        <item m="1" x="1813"/>
        <item x="520"/>
        <item m="1" x="2077"/>
        <item x="55"/>
        <item m="1" x="801"/>
        <item m="1" x="1803"/>
        <item m="1" x="1815"/>
        <item m="1" x="4517"/>
        <item m="1" x="2633"/>
        <item m="1" x="2184"/>
        <item m="1" x="3803"/>
        <item m="1" x="1748"/>
        <item m="1" x="1476"/>
        <item x="424"/>
        <item m="1" x="1133"/>
        <item x="514"/>
        <item m="1" x="1071"/>
        <item m="1" x="2952"/>
        <item m="1" x="1127"/>
        <item m="1" x="4526"/>
        <item m="1" x="4355"/>
        <item m="1" x="3491"/>
        <item m="1" x="1992"/>
        <item m="1" x="1874"/>
        <item x="475"/>
        <item m="1" x="1543"/>
        <item m="1" x="758"/>
        <item x="529"/>
        <item m="1" x="668"/>
        <item m="1" x="4963"/>
        <item x="272"/>
        <item m="1" x="2293"/>
        <item m="1" x="4496"/>
        <item m="1" x="1947"/>
        <item m="1" x="2112"/>
        <item m="1" x="2187"/>
        <item m="1" x="4549"/>
        <item m="1" x="2346"/>
        <item m="1" x="1580"/>
        <item m="1" x="4322"/>
        <item x="377"/>
        <item m="1" x="717"/>
        <item m="1" x="4473"/>
        <item x="351"/>
        <item m="1" x="1415"/>
        <item m="1" x="1645"/>
        <item m="1" x="4061"/>
        <item m="1" x="1941"/>
        <item m="1" x="3085"/>
        <item m="1" x="2461"/>
        <item m="1" x="4132"/>
        <item m="1" x="642"/>
        <item m="1" x="2143"/>
        <item m="1" x="1473"/>
        <item m="1" x="4206"/>
        <item x="458"/>
        <item m="1" x="4968"/>
        <item m="1" x="3999"/>
        <item m="1" x="3540"/>
        <item m="1" x="3089"/>
        <item m="1" x="1689"/>
        <item m="1" x="3253"/>
        <item m="1" x="1030"/>
        <item m="1" x="2782"/>
        <item x="291"/>
        <item x="366"/>
        <item m="1" x="1895"/>
        <item m="1" x="3536"/>
        <item m="1" x="4801"/>
        <item m="1" x="3254"/>
        <item m="1" x="3949"/>
        <item m="1" x="3339"/>
        <item x="553"/>
        <item m="1" x="728"/>
        <item m="1" x="1917"/>
        <item m="1" x="3348"/>
        <item m="1" x="3333"/>
        <item m="1" x="2480"/>
        <item m="1" x="2392"/>
        <item m="1" x="4215"/>
        <item m="1" x="1199"/>
        <item m="1" x="4257"/>
        <item m="1" x="2139"/>
        <item m="1" x="4847"/>
        <item m="1" x="2810"/>
        <item m="1" x="4124"/>
        <item m="1" x="2411"/>
        <item m="1" x="4450"/>
        <item m="1" x="2156"/>
        <item m="1" x="2528"/>
        <item m="1" x="2116"/>
        <item m="1" x="1785"/>
        <item x="371"/>
        <item m="1" x="637"/>
        <item m="1" x="4773"/>
        <item m="1" x="3815"/>
        <item m="1" x="1287"/>
        <item m="1" x="2218"/>
        <item m="1" x="1910"/>
        <item m="1" x="739"/>
        <item x="236"/>
        <item m="1" x="3704"/>
        <item m="1" x="3161"/>
        <item m="1" x="881"/>
        <item m="1" x="4056"/>
        <item m="1" x="3022"/>
        <item m="1" x="2747"/>
        <item m="1" x="952"/>
        <item m="1" x="4626"/>
        <item m="1" x="1064"/>
        <item m="1" x="1186"/>
        <item m="1" x="4345"/>
        <item m="1" x="1656"/>
        <item m="1" x="1202"/>
        <item m="1" x="2373"/>
        <item m="1" x="3911"/>
        <item m="1" x="1532"/>
        <item m="1" x="2075"/>
        <item m="1" x="1398"/>
        <item m="1" x="3516"/>
        <item m="1" x="2724"/>
        <item m="1" x="2311"/>
        <item m="1" x="1761"/>
        <item m="1" x="4734"/>
        <item m="1" x="2884"/>
        <item m="1" x="763"/>
        <item m="1" x="3928"/>
        <item m="1" x="3166"/>
        <item m="1" x="1345"/>
        <item m="1" x="969"/>
        <item m="1" x="2532"/>
        <item m="1" x="2627"/>
        <item m="1" x="4498"/>
        <item m="1" x="1901"/>
        <item m="1" x="998"/>
        <item m="1" x="691"/>
        <item m="1" x="3769"/>
        <item m="1" x="4973"/>
        <item m="1" x="4640"/>
        <item m="1" x="1069"/>
        <item m="1" x="4541"/>
        <item m="1" x="2055"/>
        <item m="1" x="2996"/>
        <item m="1" x="1872"/>
        <item m="1" x="3791"/>
        <item m="1" x="4078"/>
        <item m="1" x="2492"/>
        <item m="1" x="3604"/>
        <item m="1" x="2013"/>
        <item m="1" x="2351"/>
        <item x="192"/>
        <item m="1" x="2612"/>
        <item m="1" x="3711"/>
        <item m="1" x="3506"/>
        <item m="1" x="4223"/>
        <item m="1" x="809"/>
        <item x="86"/>
        <item m="1" x="4510"/>
        <item m="1" x="2544"/>
        <item m="1" x="3471"/>
        <item m="1" x="2574"/>
        <item m="1" x="2815"/>
        <item m="1" x="1061"/>
        <item m="1" x="2901"/>
        <item m="1" x="4591"/>
        <item m="1" x="3577"/>
        <item m="1" x="3526"/>
        <item m="1" x="4007"/>
        <item x="34"/>
        <item m="1" x="2816"/>
        <item m="1" x="3602"/>
        <item x="113"/>
        <item m="1" x="2493"/>
        <item x="386"/>
        <item m="1" x="1053"/>
        <item m="1" x="3396"/>
        <item m="1" x="3035"/>
        <item m="1" x="1100"/>
        <item m="1" x="4612"/>
        <item m="1" x="2039"/>
        <item m="1" x="4306"/>
        <item x="77"/>
        <item x="304"/>
        <item m="1" x="4042"/>
        <item m="1" x="1396"/>
        <item m="1" x="2391"/>
        <item m="1" x="1969"/>
        <item m="1" x="2686"/>
        <item m="1" x="4459"/>
        <item m="1" x="3848"/>
        <item m="1" x="3994"/>
        <item m="1" x="3902"/>
        <item m="1" x="3795"/>
        <item m="1" x="781"/>
        <item m="1" x="3313"/>
        <item x="345"/>
        <item m="1" x="2678"/>
        <item x="372"/>
        <item m="1" x="3172"/>
        <item m="1" x="2672"/>
        <item m="1" x="2676"/>
        <item m="1" x="3660"/>
        <item m="1" x="3714"/>
        <item m="1" x="4976"/>
        <item m="1" x="3694"/>
        <item x="20"/>
        <item m="1" x="1339"/>
        <item x="273"/>
        <item m="1" x="2683"/>
        <item m="1" x="2087"/>
        <item m="1" x="2315"/>
        <item m="1" x="695"/>
        <item m="1" x="2646"/>
        <item m="1" x="3874"/>
        <item x="49"/>
        <item x="565"/>
        <item m="1" x="2671"/>
        <item m="1" x="756"/>
        <item m="1" x="2367"/>
        <item m="1" x="3582"/>
        <item m="1" x="3849"/>
        <item m="1" x="3586"/>
        <item x="166"/>
        <item m="1" x="3176"/>
        <item m="1" x="1383"/>
        <item m="1" x="3831"/>
        <item m="1" x="4353"/>
        <item m="1" x="4172"/>
        <item m="1" x="4794"/>
        <item m="1" x="1315"/>
        <item m="1" x="4445"/>
        <item m="1" x="3202"/>
        <item m="1" x="2630"/>
        <item m="1" x="4600"/>
        <item m="1" x="1510"/>
        <item m="1" x="4142"/>
        <item m="1" x="1115"/>
        <item m="1" x="2444"/>
        <item m="1" x="1632"/>
        <item m="1" x="1599"/>
        <item m="1" x="4346"/>
        <item m="1" x="4907"/>
        <item x="317"/>
        <item m="1" x="1962"/>
        <item m="1" x="2988"/>
        <item x="271"/>
        <item m="1" x="777"/>
        <item m="1" x="2645"/>
        <item m="1" x="1508"/>
        <item m="1" x="1214"/>
        <item m="1" x="4923"/>
        <item m="1" x="3327"/>
        <item m="1" x="1546"/>
        <item m="1" x="2658"/>
        <item m="1" x="4771"/>
        <item m="1" x="931"/>
        <item m="1" x="618"/>
        <item m="1" x="2193"/>
        <item m="1" x="4212"/>
        <item m="1" x="2787"/>
        <item m="1" x="4472"/>
        <item m="1" x="3030"/>
        <item m="1" x="4650"/>
        <item m="1" x="1754"/>
        <item x="137"/>
        <item m="1" x="3908"/>
        <item m="1" x="3875"/>
        <item m="1" x="2560"/>
        <item m="1" x="2283"/>
        <item m="1" x="3717"/>
        <item m="1" x="1099"/>
        <item m="1" x="1527"/>
        <item m="1" x="4887"/>
        <item m="1" x="4929"/>
        <item x="528"/>
        <item m="1" x="3595"/>
        <item m="1" x="1883"/>
        <item m="1" x="1361"/>
        <item m="1" x="1994"/>
        <item m="1" x="3205"/>
        <item m="1" x="1976"/>
        <item m="1" x="836"/>
        <item m="1" x="3553"/>
        <item m="1" x="1288"/>
        <item m="1" x="3671"/>
        <item m="1" x="4010"/>
        <item m="1" x="3039"/>
        <item m="1" x="3397"/>
        <item m="1" x="3992"/>
        <item m="1" x="1857"/>
        <item m="1" x="1709"/>
        <item m="1" x="4525"/>
        <item m="1" x="3832"/>
        <item m="1" x="4461"/>
        <item m="1" x="2305"/>
        <item x="60"/>
        <item m="1" x="1588"/>
        <item m="1" x="4106"/>
        <item m="1" x="1038"/>
        <item m="1" x="849"/>
        <item m="1" x="2680"/>
        <item m="1" x="3306"/>
        <item m="1" x="2887"/>
        <item m="1" x="1974"/>
        <item x="286"/>
        <item m="1" x="1638"/>
        <item m="1" x="2744"/>
        <item m="1" x="3754"/>
        <item m="1" x="4429"/>
        <item m="1" x="1062"/>
        <item m="1" x="3432"/>
        <item m="1" x="3380"/>
        <item m="1" x="4291"/>
        <item m="1" x="3174"/>
        <item m="1" x="861"/>
        <item x="499"/>
        <item m="1" x="2249"/>
        <item m="1" x="3213"/>
        <item m="1" x="1184"/>
        <item m="1" x="710"/>
        <item m="1" x="2353"/>
        <item m="1" x="2896"/>
        <item m="1" x="2084"/>
        <item m="1" x="2504"/>
        <item m="1" x="3542"/>
        <item m="1" x="3559"/>
        <item m="1" x="3749"/>
        <item x="470"/>
        <item m="1" x="670"/>
        <item m="1" x="1755"/>
        <item m="1" x="3931"/>
        <item m="1" x="4253"/>
        <item m="1" x="4653"/>
        <item m="1" x="4619"/>
        <item m="1" x="3013"/>
        <item m="1" x="4146"/>
        <item m="1" x="3187"/>
        <item m="1" x="4608"/>
        <item m="1" x="3700"/>
        <item x="569"/>
        <item m="1" x="4298"/>
        <item m="1" x="1677"/>
        <item m="1" x="4872"/>
        <item m="1" x="1307"/>
        <item m="1" x="4476"/>
        <item x="482"/>
        <item m="1" x="4315"/>
        <item m="1" x="2094"/>
        <item m="1" x="773"/>
        <item m="1" x="4702"/>
        <item x="435"/>
        <item m="1" x="1633"/>
        <item m="1" x="4857"/>
        <item m="1" x="3041"/>
        <item m="1" x="2430"/>
        <item m="1" x="1973"/>
        <item m="1" x="3279"/>
        <item m="1" x="4033"/>
        <item m="1" x="1451"/>
        <item m="1" x="766"/>
        <item m="1" x="970"/>
        <item m="1" x="4249"/>
        <item m="1" x="1320"/>
        <item m="1" x="3015"/>
        <item m="1" x="1820"/>
        <item m="1" x="1331"/>
        <item m="1" x="2825"/>
        <item m="1" x="1999"/>
        <item m="1" x="4769"/>
        <item m="1" x="1068"/>
        <item m="1" x="2588"/>
        <item x="356"/>
        <item m="1" x="789"/>
        <item m="1" x="797"/>
        <item m="1" x="2599"/>
        <item m="1" x="1548"/>
        <item m="1" x="3104"/>
        <item m="1" x="2656"/>
        <item m="1" x="2729"/>
        <item m="1" x="2924"/>
        <item m="1" x="4283"/>
        <item m="1" x="2274"/>
        <item m="1" x="1640"/>
        <item m="1" x="4272"/>
        <item m="1" x="4962"/>
        <item m="1" x="905"/>
        <item m="1" x="3163"/>
        <item m="1" x="3955"/>
        <item m="1" x="3517"/>
        <item m="1" x="4347"/>
        <item m="1" x="2309"/>
        <item m="1" x="898"/>
        <item m="1" x="1306"/>
        <item m="1" x="820"/>
        <item m="1" x="1262"/>
        <item m="1" x="787"/>
        <item m="1" x="1952"/>
        <item m="1" x="2845"/>
        <item m="1" x="2902"/>
        <item x="594"/>
        <item m="1" x="3750"/>
        <item m="1" x="4527"/>
        <item m="1" x="4960"/>
        <item x="471"/>
        <item m="1" x="1272"/>
        <item m="1" x="3226"/>
        <item m="1" x="3961"/>
        <item m="1" x="2585"/>
        <item m="1" x="2042"/>
        <item m="1" x="1553"/>
        <item x="30"/>
        <item m="1" x="2479"/>
        <item m="1" x="4362"/>
        <item m="1" x="4521"/>
        <item m="1" x="4537"/>
        <item x="456"/>
        <item m="1" x="1181"/>
        <item m="1" x="3947"/>
        <item m="1" x="2120"/>
        <item m="1" x="3482"/>
        <item m="1" x="640"/>
        <item m="1" x="2888"/>
        <item m="1" x="1447"/>
        <item m="1" x="3967"/>
        <item m="1" x="3590"/>
        <item m="1" x="3985"/>
        <item m="1" x="3178"/>
        <item x="495"/>
        <item m="1" x="4829"/>
        <item m="1" x="3461"/>
        <item m="1" x="2738"/>
        <item m="1" x="2628"/>
        <item m="1" x="3470"/>
        <item m="1" x="1781"/>
        <item m="1" x="4093"/>
        <item m="1" x="4876"/>
        <item m="1" x="2185"/>
        <item m="1" x="1222"/>
        <item m="1" x="3743"/>
        <item m="1" x="1200"/>
        <item m="1" x="4284"/>
        <item x="259"/>
        <item m="1" x="4363"/>
        <item m="1" x="1542"/>
        <item m="1" x="4506"/>
        <item x="512"/>
        <item m="1" x="1067"/>
        <item m="1" x="3049"/>
        <item m="1" x="2915"/>
        <item m="1" x="3851"/>
        <item m="1" x="1782"/>
        <item m="1" x="604"/>
        <item x="568"/>
        <item m="1" x="1870"/>
        <item m="1" x="1399"/>
        <item m="1" x="1773"/>
        <item m="1" x="4332"/>
        <item m="1" x="1557"/>
        <item m="1" x="4879"/>
        <item m="1" x="4041"/>
        <item m="1" x="2619"/>
        <item m="1" x="4123"/>
        <item m="1" x="1309"/>
        <item m="1" x="1196"/>
        <item m="1" x="955"/>
        <item m="1" x="1364"/>
        <item m="1" x="3808"/>
        <item x="361"/>
        <item m="1" x="3234"/>
        <item m="1" x="3759"/>
        <item m="1" x="4201"/>
        <item m="1" x="1084"/>
        <item m="1" x="2803"/>
        <item m="1" x="4565"/>
        <item m="1" x="4170"/>
        <item m="1" x="1348"/>
        <item m="1" x="4087"/>
        <item m="1" x="3183"/>
        <item x="390"/>
        <item x="347"/>
        <item x="269"/>
        <item m="1" x="4358"/>
        <item m="1" x="3593"/>
        <item m="1" x="2117"/>
        <item m="1" x="4195"/>
        <item m="1" x="3150"/>
        <item m="1" x="796"/>
        <item m="1" x="2223"/>
        <item m="1" x="1485"/>
        <item x="311"/>
        <item m="1" x="4189"/>
        <item x="105"/>
        <item m="1" x="4690"/>
        <item m="1" x="1547"/>
        <item m="1" x="1149"/>
        <item m="1" x="4631"/>
        <item m="1" x="2752"/>
        <item m="1" x="1230"/>
        <item m="1" x="1088"/>
        <item m="1" x="3623"/>
        <item m="1" x="4246"/>
        <item m="1" x="4354"/>
        <item m="1" x="3122"/>
        <item m="1" x="3589"/>
        <item x="600"/>
        <item m="1" x="1929"/>
        <item m="1" x="3689"/>
        <item m="1" x="4248"/>
        <item x="63"/>
        <item m="1" x="4544"/>
        <item m="1" x="1824"/>
        <item m="1" x="4821"/>
        <item m="1" x="3792"/>
        <item x="444"/>
        <item x="595"/>
        <item m="1" x="3737"/>
        <item x="231"/>
        <item x="246"/>
        <item x="502"/>
        <item m="1" x="3462"/>
        <item m="1" x="4558"/>
        <item m="1" x="4782"/>
        <item m="1" x="2856"/>
        <item m="1" x="2756"/>
        <item m="1" x="2205"/>
        <item m="1" x="727"/>
        <item m="1" x="3839"/>
        <item m="1" x="959"/>
        <item m="1" x="2217"/>
        <item m="1" x="1722"/>
        <item m="1" x="1007"/>
        <item m="1" x="4426"/>
        <item m="1" x="839"/>
        <item m="1" x="2113"/>
        <item m="1" x="1735"/>
        <item m="1" x="1729"/>
        <item x="268"/>
        <item m="1" x="4925"/>
        <item m="1" x="3083"/>
        <item m="1" x="1652"/>
        <item m="1" x="2360"/>
        <item m="1" x="3987"/>
        <item m="1" x="4571"/>
        <item m="1" x="3780"/>
        <item m="1" x="3899"/>
        <item m="1" x="2694"/>
        <item x="177"/>
        <item x="156"/>
        <item x="481"/>
        <item m="1" x="4398"/>
        <item m="1" x="2562"/>
        <item x="238"/>
        <item m="1" x="4648"/>
        <item m="1" x="4002"/>
        <item m="1" x="1120"/>
        <item m="1" x="1266"/>
        <item m="1" x="2603"/>
        <item m="1" x="1763"/>
        <item m="1" x="4491"/>
        <item x="590"/>
        <item m="1" x="1352"/>
        <item m="1" x="2690"/>
        <item m="1" x="2342"/>
        <item m="1" x="4133"/>
        <item m="1" x="2317"/>
        <item m="1" x="3548"/>
        <item m="1" x="1297"/>
        <item m="1" x="4062"/>
        <item x="560"/>
        <item m="1" x="1358"/>
        <item m="1" x="1382"/>
        <item m="1" x="1704"/>
        <item m="1" x="1341"/>
        <item m="1" x="1046"/>
        <item m="1" x="2882"/>
        <item m="1" x="3638"/>
        <item m="1" x="3762"/>
        <item m="1" x="2256"/>
        <item m="1" x="3785"/>
        <item m="1" x="3954"/>
        <item m="1" x="2697"/>
        <item x="56"/>
        <item m="1" x="1057"/>
        <item m="1" x="2913"/>
        <item m="1" x="1609"/>
        <item m="1" x="3765"/>
        <item m="1" x="939"/>
        <item m="1" x="2669"/>
        <item m="1" x="790"/>
        <item m="1" x="1984"/>
        <item m="1" x="3644"/>
        <item m="1" x="4636"/>
        <item m="1" x="3656"/>
        <item m="1" x="3215"/>
        <item m="1" x="2765"/>
        <item m="1" x="2758"/>
        <item m="1" x="1742"/>
        <item m="1" x="3910"/>
        <item m="1" x="1247"/>
        <item m="1" x="1664"/>
        <item m="1" x="3976"/>
        <item m="1" x="2880"/>
        <item m="1" x="3424"/>
        <item x="526"/>
        <item m="1" x="2146"/>
        <item m="1" x="4102"/>
        <item m="1" x="1240"/>
        <item m="1" x="1614"/>
        <item m="1" x="3578"/>
        <item m="1" x="1164"/>
        <item m="1" x="1189"/>
        <item m="1" x="1453"/>
        <item m="1" x="4368"/>
        <item m="1" x="2543"/>
        <item m="1" x="3487"/>
        <item m="1" x="2064"/>
        <item m="1" x="3894"/>
        <item m="1" x="2358"/>
        <item m="1" x="1322"/>
        <item m="1" x="4687"/>
        <item m="1" x="776"/>
        <item m="1" x="2422"/>
        <item m="1" x="2987"/>
        <item m="1" x="1412"/>
        <item m="1" x="1036"/>
        <item m="1" x="1114"/>
        <item m="1" x="4343"/>
        <item m="1" x="3618"/>
        <item m="1" x="1912"/>
        <item m="1" x="4160"/>
        <item m="1" x="4512"/>
        <item m="1" x="4710"/>
        <item m="1" x="2643"/>
        <item m="1" x="1439"/>
        <item m="1" x="2727"/>
        <item m="1" x="2063"/>
        <item m="1" x="3963"/>
        <item m="1" x="4751"/>
        <item x="498"/>
        <item m="1" x="869"/>
        <item x="189"/>
        <item m="1" x="3406"/>
        <item m="1" x="3073"/>
        <item m="1" x="1908"/>
        <item x="220"/>
        <item m="1" x="3825"/>
        <item m="1" x="2443"/>
        <item x="394"/>
        <item m="1" x="2951"/>
        <item m="1" x="4372"/>
        <item m="1" x="4915"/>
        <item x="173"/>
        <item x="440"/>
        <item m="1" x="4153"/>
        <item m="1" x="4207"/>
        <item m="1" x="746"/>
        <item m="1" x="648"/>
        <item x="383"/>
        <item x="11"/>
        <item m="1" x="3020"/>
        <item m="1" x="838"/>
        <item m="1" x="785"/>
        <item m="1" x="804"/>
        <item m="1" x="3981"/>
        <item m="1" x="4853"/>
        <item m="1" x="4202"/>
        <item x="94"/>
        <item m="1" x="2926"/>
        <item m="1" x="4937"/>
        <item m="1" x="2328"/>
        <item m="1" x="1866"/>
        <item m="1" x="2664"/>
        <item m="1" x="3196"/>
        <item m="1" x="1039"/>
        <item m="1" x="1810"/>
        <item m="1" x="3678"/>
        <item m="1" x="4316"/>
        <item m="1" x="751"/>
        <item m="1" x="1492"/>
        <item m="1" x="4115"/>
        <item m="1" x="829"/>
        <item m="1" x="3404"/>
        <item m="1" x="2783"/>
        <item x="168"/>
        <item m="1" x="2230"/>
        <item m="1" x="4678"/>
        <item x="396"/>
        <item m="1" x="4844"/>
        <item m="1" x="3079"/>
        <item m="1" x="3924"/>
        <item m="1" x="4562"/>
        <item m="1" x="4911"/>
        <item m="1" x="1414"/>
        <item m="1" x="4499"/>
        <item m="1" x="1360"/>
        <item x="516"/>
        <item x="492"/>
        <item m="1" x="4454"/>
        <item m="1" x="633"/>
        <item m="1" x="3852"/>
        <item m="1" x="4422"/>
        <item m="1" x="1927"/>
        <item m="1" x="4975"/>
        <item m="1" x="3597"/>
        <item x="490"/>
        <item m="1" x="2405"/>
        <item x="184"/>
        <item x="180"/>
        <item m="1" x="4104"/>
        <item m="1" x="3293"/>
        <item m="1" x="1411"/>
        <item m="1" x="1234"/>
        <item m="1" x="1519"/>
        <item m="1" x="1799"/>
        <item m="1" x="4867"/>
        <item m="1" x="1132"/>
        <item m="1" x="3251"/>
        <item m="1" x="1047"/>
        <item m="1" x="1294"/>
        <item m="1" x="3732"/>
        <item m="1" x="4159"/>
        <item m="1" x="1328"/>
        <item m="1" x="2265"/>
        <item m="1" x="4039"/>
        <item m="1" x="2207"/>
        <item m="1" x="1250"/>
        <item m="1" x="2058"/>
        <item m="1" x="3478"/>
        <item x="248"/>
        <item m="1" x="982"/>
        <item x="35"/>
        <item m="1" x="1865"/>
        <item x="322"/>
        <item m="1" x="1418"/>
        <item x="591"/>
        <item m="1" x="1859"/>
        <item m="1" x="1534"/>
        <item m="1" x="4634"/>
        <item m="1" x="1095"/>
        <item m="1" x="4812"/>
        <item x="385"/>
        <item x="376"/>
        <item m="1" x="1579"/>
        <item x="408"/>
        <item m="1" x="2832"/>
        <item m="1" x="4983"/>
        <item m="1" x="675"/>
        <item x="42"/>
        <item m="1" x="1126"/>
        <item m="1" x="2750"/>
        <item m="1" x="3341"/>
        <item m="1" x="3882"/>
        <item x="234"/>
        <item m="1" x="4919"/>
        <item m="1" x="974"/>
        <item m="1" x="3005"/>
        <item m="1" x="918"/>
        <item m="1" x="3665"/>
        <item m="1" x="3476"/>
        <item m="1" x="752"/>
        <item m="1" x="1144"/>
        <item m="1" x="2835"/>
        <item m="1" x="3358"/>
        <item m="1" x="3779"/>
        <item m="1" x="1777"/>
        <item m="1" x="4030"/>
        <item m="1" x="2764"/>
        <item m="1" x="3475"/>
        <item m="1" x="2159"/>
        <item m="1" x="3116"/>
        <item m="1" x="4987"/>
        <item m="1" x="672"/>
        <item m="1" x="1572"/>
        <item m="1" x="3332"/>
        <item m="1" x="2865"/>
        <item m="1" x="938"/>
        <item m="1" x="942"/>
        <item x="463"/>
        <item m="1" x="979"/>
        <item m="1" x="2650"/>
        <item m="1" x="4330"/>
        <item m="1" x="1123"/>
        <item m="1" x="871"/>
        <item m="1" x="4356"/>
        <item m="1" x="716"/>
        <item m="1" x="4399"/>
        <item m="1" x="2483"/>
        <item x="598"/>
        <item m="1" x="684"/>
        <item m="1" x="3721"/>
        <item m="1" x="3281"/>
        <item m="1" x="4852"/>
        <item m="1" x="4676"/>
        <item m="1" x="3712"/>
        <item m="1" x="940"/>
        <item x="150"/>
        <item m="1" x="1313"/>
        <item m="1" x="873"/>
        <item m="1" x="4418"/>
        <item m="1" x="3273"/>
        <item m="1" x="3555"/>
        <item m="1" x="3511"/>
        <item m="1" x="1563"/>
        <item m="1" x="1537"/>
        <item x="79"/>
        <item m="1" x="4436"/>
        <item m="1" x="775"/>
        <item m="1" x="1334"/>
        <item m="1" x="1335"/>
        <item m="1" x="3897"/>
        <item m="1" x="4904"/>
        <item m="1" x="3258"/>
        <item m="1" x="1270"/>
        <item m="1" x="1539"/>
        <item x="340"/>
        <item m="1" x="749"/>
        <item m="1" x="3551"/>
        <item m="1" x="1156"/>
        <item x="375"/>
        <item m="1" x="4655"/>
        <item m="1" x="760"/>
        <item x="207"/>
        <item m="1" x="3535"/>
        <item m="1" x="4254"/>
        <item m="1" x="3207"/>
        <item m="1" x="2836"/>
        <item m="1" x="3480"/>
        <item m="1" x="2510"/>
        <item m="1" x="877"/>
        <item m="1" x="2225"/>
        <item m="1" x="2240"/>
        <item m="1" x="3444"/>
        <item m="1" x="2897"/>
        <item m="1" x="4712"/>
        <item m="1" x="1627"/>
        <item m="1" x="2368"/>
        <item m="1" x="859"/>
        <item m="1" x="3302"/>
        <item m="1" x="1354"/>
        <item m="1" x="1172"/>
        <item m="1" x="1864"/>
        <item m="1" x="3110"/>
        <item m="1" x="1675"/>
        <item x="64"/>
        <item m="1" x="1141"/>
        <item m="1" x="4948"/>
        <item m="1" x="2005"/>
        <item m="1" x="4234"/>
        <item m="1" x="1659"/>
        <item m="1" x="4774"/>
        <item m="1" x="4439"/>
        <item m="1" x="1223"/>
        <item m="1" x="2903"/>
        <item m="1" x="1346"/>
        <item m="1" x="629"/>
        <item m="1" x="3509"/>
        <item m="1" x="4408"/>
        <item m="1" x="3930"/>
        <item m="1" x="1511"/>
        <item m="1" x="1862"/>
        <item m="1" x="1623"/>
        <item m="1" x="1796"/>
        <item m="1" x="2785"/>
        <item m="1" x="2045"/>
        <item m="1" x="1676"/>
        <item m="1" x="650"/>
        <item m="1" x="1720"/>
        <item m="1" x="4731"/>
        <item m="1" x="2321"/>
        <item m="1" x="4261"/>
        <item m="1" x="4551"/>
        <item m="1" x="1751"/>
        <item m="1" x="4928"/>
        <item x="136"/>
        <item m="1" x="3492"/>
        <item m="1" x="4162"/>
        <item x="413"/>
        <item m="1" x="916"/>
        <item x="17"/>
        <item m="1" x="1970"/>
        <item m="1" x="1983"/>
        <item m="1" x="4043"/>
        <item m="1" x="2868"/>
        <item m="1" x="3194"/>
        <item m="1" x="2503"/>
        <item m="1" x="3710"/>
        <item m="1" x="3288"/>
        <item m="1" x="3495"/>
        <item m="1" x="4827"/>
        <item m="1" x="2570"/>
        <item m="1" x="4237"/>
        <item x="257"/>
        <item m="1" x="3761"/>
        <item m="1" x="4953"/>
        <item m="1" x="3352"/>
        <item m="1" x="3472"/>
        <item m="1" x="3614"/>
        <item x="205"/>
        <item m="1" x="1535"/>
        <item m="1" x="4790"/>
        <item m="1" x="1049"/>
        <item m="1" x="3915"/>
        <item m="1" x="1737"/>
        <item m="1" x="2157"/>
        <item x="307"/>
        <item m="1" x="930"/>
        <item x="78"/>
        <item m="1" x="4912"/>
        <item m="1" x="1013"/>
        <item m="1" x="706"/>
        <item m="1" x="827"/>
        <item m="1" x="4303"/>
        <item m="1" x="4778"/>
        <item m="1" x="4673"/>
        <item m="1" x="2833"/>
        <item m="1" x="1708"/>
        <item m="1" x="4054"/>
        <item m="1" x="1423"/>
        <item m="1" x="4055"/>
        <item x="378"/>
        <item x="551"/>
        <item m="1" x="2976"/>
        <item m="1" x="724"/>
        <item m="1" x="1443"/>
        <item m="1" x="3525"/>
        <item m="1" x="1330"/>
        <item m="1" x="2154"/>
        <item m="1" x="2173"/>
        <item m="1" x="2098"/>
        <item m="1" x="3858"/>
        <item m="1" x="3002"/>
        <item x="13"/>
        <item m="1" x="806"/>
        <item m="1" x="3677"/>
        <item m="1" x="3400"/>
        <item m="1" x="993"/>
        <item m="1" x="1337"/>
        <item m="1" x="2122"/>
        <item m="1" x="2638"/>
        <item m="1" x="2606"/>
        <item m="1" x="1403"/>
        <item x="517"/>
        <item m="1" x="2089"/>
        <item m="1" x="3452"/>
        <item m="1" x="811"/>
        <item m="1" x="1052"/>
        <item m="1" x="1170"/>
        <item m="1" x="3617"/>
        <item m="1" x="3969"/>
        <item m="1" x="3201"/>
        <item x="212"/>
        <item m="1" x="4164"/>
        <item m="1" x="631"/>
        <item m="1" x="3518"/>
        <item m="1" x="1728"/>
        <item m="1" x="1846"/>
        <item m="1" x="850"/>
        <item m="1" x="1568"/>
        <item m="1" x="1397"/>
        <item m="1" x="876"/>
        <item m="1" x="4719"/>
        <item m="1" x="1029"/>
        <item m="1" x="1119"/>
        <item m="1" x="2522"/>
        <item m="1" x="2776"/>
        <item m="1" x="1611"/>
        <item m="1" x="3757"/>
        <item m="1" x="634"/>
        <item m="1" x="4858"/>
        <item m="1" x="4446"/>
        <item m="1" x="705"/>
        <item m="1" x="2426"/>
        <item m="1" x="912"/>
        <item m="1" x="1094"/>
        <item m="1" x="3869"/>
        <item m="1" x="1153"/>
        <item m="1" x="3081"/>
        <item m="1" x="452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dataField="1" numFmtId="2" showAll="0"/>
    <pivotField axis="axisRow" showAll="0">
      <items count="28">
        <item x="0"/>
        <item x="23"/>
        <item x="8"/>
        <item x="15"/>
        <item x="3"/>
        <item x="24"/>
        <item x="10"/>
        <item x="25"/>
        <item x="21"/>
        <item x="7"/>
        <item x="2"/>
        <item x="11"/>
        <item x="5"/>
        <item x="20"/>
        <item x="22"/>
        <item x="19"/>
        <item m="1" x="26"/>
        <item x="16"/>
        <item x="1"/>
        <item x="13"/>
        <item x="14"/>
        <item x="12"/>
        <item x="4"/>
        <item x="18"/>
        <item x="9"/>
        <item x="6"/>
        <item x="17"/>
        <item t="default"/>
      </items>
    </pivotField>
    <pivotField dataField="1" showAll="0"/>
    <pivotField dataField="1"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2">
    <field x="1"/>
    <field x="6"/>
  </rowFields>
  <rowItems count="45">
    <i>
      <x v="3200"/>
    </i>
    <i r="1">
      <x v="12"/>
    </i>
    <i>
      <x v="2765"/>
    </i>
    <i r="1">
      <x v="1"/>
    </i>
    <i>
      <x v="2692"/>
    </i>
    <i r="1">
      <x v="1"/>
    </i>
    <i>
      <x v="4000"/>
    </i>
    <i r="1">
      <x v="12"/>
    </i>
    <i>
      <x v="3009"/>
    </i>
    <i r="1">
      <x v="12"/>
    </i>
    <i>
      <x v="1924"/>
    </i>
    <i r="1">
      <x v="4"/>
    </i>
    <i>
      <x v="2827"/>
    </i>
    <i r="1">
      <x v="6"/>
    </i>
    <i>
      <x v="846"/>
    </i>
    <i r="1">
      <x v="12"/>
    </i>
    <i>
      <x v="3610"/>
    </i>
    <i r="1">
      <x v="21"/>
    </i>
    <i>
      <x v="791"/>
    </i>
    <i r="1">
      <x v="12"/>
    </i>
    <i>
      <x v="3912"/>
    </i>
    <i r="1">
      <x v="13"/>
    </i>
    <i>
      <x v="3424"/>
    </i>
    <i r="1">
      <x v="21"/>
    </i>
    <i>
      <x v="482"/>
    </i>
    <i r="1">
      <x v="17"/>
    </i>
    <i>
      <x v="2419"/>
    </i>
    <i r="1">
      <x v="23"/>
    </i>
    <i>
      <x v="375"/>
    </i>
    <i r="1">
      <x v="18"/>
    </i>
    <i>
      <x v="3357"/>
    </i>
    <i r="1">
      <x v="3"/>
    </i>
    <i>
      <x v="3842"/>
    </i>
    <i r="1">
      <x v="24"/>
    </i>
    <i>
      <x v="1522"/>
    </i>
    <i r="1">
      <x v="13"/>
    </i>
    <i>
      <x v="2623"/>
    </i>
    <i r="1">
      <x v="12"/>
    </i>
    <i>
      <x v="2362"/>
    </i>
    <i r="1">
      <x v="21"/>
    </i>
    <i>
      <x v="4224"/>
    </i>
    <i r="1">
      <x v="13"/>
    </i>
    <i>
      <x v="3401"/>
    </i>
    <i r="1">
      <x v="4"/>
    </i>
    <i t="grand">
      <x/>
    </i>
  </rowItems>
  <colFields count="1">
    <field x="-2"/>
  </colFields>
  <colItems count="5">
    <i>
      <x/>
    </i>
    <i i="1">
      <x v="1"/>
    </i>
    <i i="2">
      <x v="2"/>
    </i>
    <i i="3">
      <x v="3"/>
    </i>
    <i i="4">
      <x v="4"/>
    </i>
  </colItems>
  <dataFields count="5">
    <dataField name="Sum of Workers" fld="7" baseField="0" baseItem="0"/>
    <dataField name="Sum of Previous_workers" fld="8" baseField="0" baseItem="0"/>
    <dataField name="Sum of Growth_%" fld="5" baseField="0" baseItem="0" numFmtId="2"/>
    <dataField name="Sum of Revenue" fld="4" baseField="0" baseItem="0" numFmtId="165"/>
    <dataField name="Sum of delta workers" fld="13" baseField="0" baseItem="0"/>
  </dataFields>
  <pivotTableStyleInfo name="PivotStyleLight16" showRowHeaders="1" showColHeaders="1" showRowStripes="0" showColStripes="0" showLastColumn="1"/>
  <filters count="1">
    <filter fld="1" type="count" evalOrder="-1" id="8"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0DE273-45C4-4B5E-8B02-DB4A3FDB877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E26" firstHeaderRow="0" firstDataRow="1" firstDataCol="1"/>
  <pivotFields count="15">
    <pivotField showAll="0"/>
    <pivotField axis="axisRow" showAll="0" measureFilter="1" sortType="descending">
      <items count="4989">
        <item m="1" x="3682"/>
        <item m="1" x="4898"/>
        <item m="1" x="3650"/>
        <item m="1" x="735"/>
        <item m="1" x="4578"/>
        <item m="1" x="1366"/>
        <item x="68"/>
        <item m="1" x="1996"/>
        <item m="1" x="702"/>
        <item m="1" x="1669"/>
        <item m="1" x="4572"/>
        <item m="1" x="1256"/>
        <item x="181"/>
        <item m="1" x="3490"/>
        <item m="1" x="1278"/>
        <item m="1" x="4286"/>
        <item m="1" x="3935"/>
        <item m="1" x="4210"/>
        <item m="1" x="3941"/>
        <item m="1" x="1835"/>
        <item m="1" x="1004"/>
        <item m="1" x="4382"/>
        <item m="1" x="4918"/>
        <item m="1" x="1489"/>
        <item m="1" x="2100"/>
        <item m="1" x="4798"/>
        <item m="1" x="1318"/>
        <item m="1" x="4245"/>
        <item m="1" x="3884"/>
        <item m="1" x="971"/>
        <item m="1" x="3747"/>
        <item m="1" x="1142"/>
        <item m="1" x="4902"/>
        <item x="312"/>
        <item m="1" x="3004"/>
        <item m="1" x="3705"/>
        <item m="1" x="1797"/>
        <item m="1" x="1660"/>
        <item m="1" x="981"/>
        <item m="1" x="1436"/>
        <item m="1" x="4715"/>
        <item m="1" x="4533"/>
        <item m="1" x="3507"/>
        <item m="1" x="4704"/>
        <item m="1" x="4149"/>
        <item m="1" x="3532"/>
        <item m="1" x="4870"/>
        <item m="1" x="3697"/>
        <item x="69"/>
        <item m="1" x="3601"/>
        <item x="115"/>
        <item m="1" x="3591"/>
        <item m="1" x="1619"/>
        <item m="1" x="1684"/>
        <item m="1" x="632"/>
        <item m="1" x="1730"/>
        <item m="1" x="4796"/>
        <item m="1" x="1284"/>
        <item m="1" x="3695"/>
        <item m="1" x="3504"/>
        <item m="1" x="3736"/>
        <item m="1" x="4478"/>
        <item m="1" x="2203"/>
        <item m="1" x="3626"/>
        <item m="1" x="2546"/>
        <item m="1" x="2625"/>
        <item m="1" x="4522"/>
        <item m="1" x="1591"/>
        <item m="1" x="2436"/>
        <item m="1" x="3170"/>
        <item m="1" x="2312"/>
        <item m="1" x="1045"/>
        <item m="1" x="2711"/>
        <item m="1" x="3483"/>
        <item m="1" x="4546"/>
        <item m="1" x="4803"/>
        <item m="1" x="3822"/>
        <item m="1" x="3230"/>
        <item m="1" x="2969"/>
        <item m="1" x="3600"/>
        <item m="1" x="2386"/>
        <item m="1" x="2822"/>
        <item x="451"/>
        <item m="1" x="2199"/>
        <item m="1" x="2383"/>
        <item m="1" x="2153"/>
        <item m="1" x="3952"/>
        <item x="493"/>
        <item m="1" x="1634"/>
        <item m="1" x="4139"/>
        <item m="1" x="2090"/>
        <item m="1" x="3819"/>
        <item m="1" x="4641"/>
        <item m="1" x="3108"/>
        <item m="1" x="3995"/>
        <item m="1" x="4327"/>
        <item m="1" x="4698"/>
        <item m="1" x="4933"/>
        <item m="1" x="4232"/>
        <item m="1" x="1736"/>
        <item m="1" x="2502"/>
        <item m="1" x="2945"/>
        <item m="1" x="3322"/>
        <item m="1" x="3724"/>
        <item m="1" x="4083"/>
        <item m="1" x="1752"/>
        <item m="1" x="2306"/>
        <item m="1" x="694"/>
        <item m="1" x="2108"/>
        <item m="1" x="1417"/>
        <item m="1" x="4826"/>
        <item m="1" x="2834"/>
        <item m="1" x="4913"/>
        <item m="1" x="4735"/>
        <item m="1" x="3090"/>
        <item m="1" x="3115"/>
        <item m="1" x="718"/>
        <item m="1" x="4028"/>
        <item m="1" x="2390"/>
        <item x="167"/>
        <item m="1" x="2310"/>
        <item m="1" x="693"/>
        <item m="1" x="2254"/>
        <item m="1" x="3145"/>
        <item m="1" x="3978"/>
        <item m="1" x="783"/>
        <item m="1" x="4945"/>
        <item m="1" x="1844"/>
        <item x="359"/>
        <item m="1" x="4433"/>
        <item x="509"/>
        <item m="1" x="1424"/>
        <item m="1" x="2296"/>
        <item m="1" x="1893"/>
        <item m="1" x="3211"/>
        <item m="1" x="2552"/>
        <item m="1" x="3864"/>
        <item m="1" x="1851"/>
        <item m="1" x="1434"/>
        <item x="416"/>
        <item m="1" x="3659"/>
        <item m="1" x="1378"/>
        <item m="1" x="4462"/>
        <item m="1" x="983"/>
        <item m="1" x="4581"/>
        <item m="1" x="2920"/>
        <item m="1" x="2586"/>
        <item x="403"/>
        <item m="1" x="3066"/>
        <item m="1" x="4147"/>
        <item m="1" x="4048"/>
        <item m="1" x="4285"/>
        <item m="1" x="1380"/>
        <item m="1" x="1601"/>
        <item m="1" x="4969"/>
        <item m="1" x="1356"/>
        <item m="1" x="2447"/>
        <item m="1" x="4689"/>
        <item m="1" x="1713"/>
        <item x="423"/>
        <item m="1" x="4732"/>
        <item x="279"/>
        <item m="1" x="614"/>
        <item x="198"/>
        <item m="1" x="2663"/>
        <item m="1" x="4044"/>
        <item m="1" x="4494"/>
        <item m="1" x="1524"/>
        <item m="1" x="2417"/>
        <item m="1" x="3484"/>
        <item m="1" x="1369"/>
        <item m="1" x="2734"/>
        <item m="1" x="3412"/>
        <item m="1" x="1197"/>
        <item m="1" x="3062"/>
        <item m="1" x="2463"/>
        <item m="1" x="1800"/>
        <item m="1" x="2639"/>
        <item m="1" x="2477"/>
        <item m="1" x="1529"/>
        <item m="1" x="1458"/>
        <item m="1" x="1083"/>
        <item m="1" x="1242"/>
        <item m="1" x="2128"/>
        <item m="1" x="2369"/>
        <item m="1" x="4899"/>
        <item m="1" x="4435"/>
        <item m="1" x="2981"/>
        <item m="1" x="3630"/>
        <item m="1" x="2577"/>
        <item m="1" x="2326"/>
        <item m="1" x="1873"/>
        <item m="1" x="646"/>
        <item m="1" x="4163"/>
        <item m="1" x="1078"/>
        <item m="1" x="4838"/>
        <item m="1" x="3948"/>
        <item m="1" x="2341"/>
        <item m="1" x="4392"/>
        <item m="1" x="2242"/>
        <item x="152"/>
        <item m="1" x="4198"/>
        <item m="1" x="3268"/>
        <item m="1" x="2799"/>
        <item m="1" x="628"/>
        <item m="1" x="1279"/>
        <item x="539"/>
        <item m="1" x="3133"/>
        <item x="283"/>
        <item x="446"/>
        <item m="1" x="2410"/>
        <item m="1" x="1338"/>
        <item m="1" x="1891"/>
        <item m="1" x="3003"/>
        <item m="1" x="3861"/>
        <item m="1" x="1167"/>
        <item x="298"/>
        <item x="467"/>
        <item m="1" x="1646"/>
        <item m="1" x="2714"/>
        <item m="1" x="4052"/>
        <item m="1" x="2474"/>
        <item m="1" x="3282"/>
        <item m="1" x="2021"/>
        <item m="1" x="3144"/>
        <item m="1" x="3208"/>
        <item m="1" x="2746"/>
        <item m="1" x="4531"/>
        <item m="1" x="4878"/>
        <item x="39"/>
        <item m="1" x="3023"/>
        <item m="1" x="978"/>
        <item m="1" x="4956"/>
        <item m="1" x="3244"/>
        <item m="1" x="2006"/>
        <item m="1" x="4280"/>
        <item m="1" x="4067"/>
        <item m="1" x="3054"/>
        <item x="575"/>
        <item m="1" x="1935"/>
        <item m="1" x="3569"/>
        <item x="119"/>
        <item m="1" x="3440"/>
        <item m="1" x="3741"/>
        <item x="142"/>
        <item m="1" x="2904"/>
        <item m="1" x="2958"/>
        <item m="1" x="1758"/>
        <item x="576"/>
        <item m="1" x="3876"/>
        <item m="1" x="3668"/>
        <item m="1" x="3827"/>
        <item m="1" x="1802"/>
        <item m="1" x="3755"/>
        <item m="1" x="4226"/>
        <item m="1" x="3219"/>
        <item m="1" x="2797"/>
        <item x="292"/>
        <item m="1" x="1042"/>
        <item m="1" x="3613"/>
        <item m="1" x="2464"/>
        <item m="1" x="4501"/>
        <item x="96"/>
        <item m="1" x="3368"/>
        <item m="1" x="897"/>
        <item m="1" x="4880"/>
        <item m="1" x="1725"/>
        <item m="1" x="2899"/>
        <item m="1" x="4661"/>
        <item m="1" x="977"/>
        <item m="1" x="4947"/>
        <item m="1" x="4832"/>
        <item m="1" x="4979"/>
        <item m="1" x="4958"/>
        <item m="1" x="3411"/>
        <item m="1" x="4620"/>
        <item m="1" x="2088"/>
        <item m="1" x="4583"/>
        <item m="1" x="771"/>
        <item m="1" x="2877"/>
        <item m="1" x="818"/>
        <item m="1" x="3390"/>
        <item x="27"/>
        <item m="1" x="2318"/>
        <item m="1" x="1420"/>
        <item m="1" x="2406"/>
        <item m="1" x="1496"/>
        <item m="1" x="1192"/>
        <item m="1" x="3337"/>
        <item m="1" x="1236"/>
        <item m="1" x="3592"/>
        <item m="1" x="2498"/>
        <item m="1" x="3906"/>
        <item m="1" x="3974"/>
        <item m="1" x="4180"/>
        <item m="1" x="757"/>
        <item x="15"/>
        <item m="1" x="891"/>
        <item m="1" x="2514"/>
        <item m="1" x="1441"/>
        <item m="1" x="4787"/>
        <item x="459"/>
        <item m="1" x="4556"/>
        <item x="401"/>
        <item m="1" x="4664"/>
        <item m="1" x="4008"/>
        <item m="1" x="2399"/>
        <item m="1" x="3428"/>
        <item x="582"/>
        <item x="587"/>
        <item m="1" x="4694"/>
        <item m="1" x="2587"/>
        <item m="1" x="3862"/>
        <item m="1" x="2434"/>
        <item m="1" x="973"/>
        <item m="1" x="1102"/>
        <item m="1" x="1478"/>
        <item m="1" x="664"/>
        <item m="1" x="4187"/>
        <item m="1" x="2102"/>
        <item m="1" x="3657"/>
        <item m="1" x="4576"/>
        <item m="1" x="1823"/>
        <item m="1" x="3892"/>
        <item m="1" x="2979"/>
        <item x="398"/>
        <item m="1" x="3389"/>
        <item m="1" x="847"/>
        <item m="1" x="4220"/>
        <item m="1" x="3598"/>
        <item m="1" x="1019"/>
        <item m="1" x="4098"/>
        <item m="1" x="4729"/>
        <item m="1" x="1850"/>
        <item m="1" x="2775"/>
        <item m="1" x="4273"/>
        <item m="1" x="2770"/>
        <item m="1" x="3335"/>
        <item m="1" x="2719"/>
        <item m="1" x="2567"/>
        <item m="1" x="729"/>
        <item m="1" x="1008"/>
        <item m="1" x="2801"/>
        <item m="1" x="2019"/>
        <item m="1" x="3077"/>
        <item m="1" x="3314"/>
        <item m="1" x="3000"/>
        <item m="1" x="3647"/>
        <item m="1" x="1283"/>
        <item m="1" x="2828"/>
        <item x="148"/>
        <item m="1" x="1271"/>
        <item m="1" x="3199"/>
        <item m="1" x="3965"/>
        <item m="1" x="3303"/>
        <item m="1" x="3606"/>
        <item m="1" x="4113"/>
        <item m="1" x="2487"/>
        <item m="1" x="3294"/>
        <item m="1" x="3284"/>
        <item x="331"/>
        <item m="1" x="1560"/>
        <item m="1" x="4288"/>
        <item m="1" x="680"/>
        <item m="1" x="4635"/>
        <item m="1" x="4875"/>
        <item m="1" x="3228"/>
        <item m="1" x="2308"/>
        <item m="1" x="1766"/>
        <item m="1" x="3628"/>
        <item m="1" x="2387"/>
        <item m="1" x="4214"/>
        <item x="460"/>
        <item m="1" x="2202"/>
        <item m="1" x="4811"/>
        <item x="411"/>
        <item x="143"/>
        <item m="1" x="4723"/>
        <item m="1" x="1691"/>
        <item m="1" x="4585"/>
        <item m="1" x="2234"/>
        <item m="1" x="2211"/>
        <item m="1" x="1349"/>
        <item m="1" x="4535"/>
        <item m="1" x="1392"/>
        <item m="1" x="4302"/>
        <item x="563"/>
        <item m="1" x="3347"/>
        <item m="1" x="3318"/>
        <item m="1" x="2730"/>
        <item m="1" x="3177"/>
        <item m="1" x="2533"/>
        <item m="1" x="3320"/>
        <item x="82"/>
        <item m="1" x="1817"/>
        <item m="1" x="3255"/>
        <item x="66"/>
        <item m="1" x="1384"/>
        <item x="434"/>
        <item m="1" x="3222"/>
        <item m="1" x="4557"/>
        <item m="1" x="4483"/>
        <item m="1" x="4701"/>
        <item m="1" x="2379"/>
        <item m="1" x="2356"/>
        <item m="1" x="4034"/>
        <item m="1" x="4129"/>
        <item m="1" x="991"/>
        <item m="1" x="4561"/>
        <item m="1" x="2540"/>
        <item m="1" x="4203"/>
        <item m="1" x="3198"/>
        <item m="1" x="3764"/>
        <item m="1" x="1486"/>
        <item m="1" x="2415"/>
        <item m="1" x="1488"/>
        <item m="1" x="3687"/>
        <item m="1" x="4936"/>
        <item m="1" x="968"/>
        <item x="414"/>
        <item m="1" x="4903"/>
        <item m="1" x="1573"/>
        <item m="1" x="1336"/>
        <item m="1" x="682"/>
        <item m="1" x="2144"/>
        <item m="1" x="3844"/>
        <item m="1" x="2060"/>
        <item x="112"/>
        <item m="1" x="4240"/>
        <item m="1" x="3802"/>
        <item m="1" x="2170"/>
        <item m="1" x="3921"/>
        <item m="1" x="1077"/>
        <item m="1" x="1520"/>
        <item m="1" x="1460"/>
        <item m="1" x="3076"/>
        <item m="1" x="3241"/>
        <item m="1" x="1710"/>
        <item m="1" x="1092"/>
        <item m="1" x="1858"/>
        <item m="1" x="2641"/>
        <item x="227"/>
        <item m="1" x="2943"/>
        <item m="1" x="4910"/>
        <item m="1" x="3233"/>
        <item m="1" x="4490"/>
        <item m="1" x="2244"/>
        <item m="1" x="3231"/>
        <item m="1" x="738"/>
        <item m="1" x="3636"/>
        <item m="1" x="4560"/>
        <item m="1" x="4605"/>
        <item m="1" x="1139"/>
        <item x="24"/>
        <item m="1" x="1625"/>
        <item m="1" x="2486"/>
        <item m="1" x="769"/>
        <item m="1" x="2954"/>
        <item m="1" x="1082"/>
        <item x="200"/>
        <item m="1" x="3572"/>
        <item m="1" x="3086"/>
        <item m="1" x="1117"/>
        <item m="1" x="1372"/>
        <item x="431"/>
        <item m="1" x="2290"/>
        <item x="597"/>
        <item m="1" x="4495"/>
        <item m="1" x="4484"/>
        <item x="352"/>
        <item m="1" x="875"/>
        <item m="1" x="2692"/>
        <item m="1" x="1545"/>
        <item m="1" x="4194"/>
        <item x="108"/>
        <item m="1" x="1483"/>
        <item m="1" x="1985"/>
        <item m="1" x="2031"/>
        <item m="1" x="3235"/>
        <item m="1" x="3843"/>
        <item m="1" x="1816"/>
        <item x="426"/>
        <item x="559"/>
        <item m="1" x="1806"/>
        <item m="1" x="3385"/>
        <item m="1" x="4178"/>
        <item x="120"/>
        <item m="1" x="3171"/>
        <item m="1" x="4938"/>
        <item m="1" x="1889"/>
        <item m="1" x="1290"/>
        <item m="1" x="3777"/>
        <item m="1" x="2791"/>
        <item m="1" x="1622"/>
        <item m="1" x="966"/>
        <item m="1" x="4808"/>
        <item m="1" x="4292"/>
        <item m="1" x="2584"/>
        <item m="1" x="1118"/>
        <item m="1" x="4038"/>
        <item m="1" x="1847"/>
        <item m="1" x="865"/>
        <item x="310"/>
        <item m="1" x="3562"/>
        <item m="1" x="4480"/>
        <item m="1" x="4835"/>
        <item m="1" x="1210"/>
        <item m="1" x="2380"/>
        <item x="254"/>
        <item m="1" x="3029"/>
        <item m="1" x="3032"/>
        <item x="522"/>
        <item x="550"/>
        <item m="1" x="2623"/>
        <item m="1" x="2846"/>
        <item m="1" x="2673"/>
        <item m="1" x="3686"/>
        <item x="439"/>
        <item m="1" x="2482"/>
        <item m="1" x="2693"/>
        <item m="1" x="1854"/>
        <item m="1" x="676"/>
        <item m="1" x="4118"/>
        <item m="1" x="802"/>
        <item m="1" x="3051"/>
        <item x="6"/>
        <item m="1" x="2101"/>
        <item m="1" x="813"/>
        <item m="1" x="1093"/>
        <item x="525"/>
        <item m="1" x="1143"/>
        <item m="1" x="808"/>
        <item m="1" x="4281"/>
        <item m="1" x="3889"/>
        <item m="1" x="1597"/>
        <item m="1" x="2245"/>
        <item m="1" x="2653"/>
        <item m="1" x="1386"/>
        <item m="1" x="3252"/>
        <item m="1" x="988"/>
        <item m="1" x="933"/>
        <item x="45"/>
        <item m="1" x="1165"/>
        <item m="1" x="2518"/>
        <item m="1" x="2537"/>
        <item m="1" x="2841"/>
        <item m="1" x="2229"/>
        <item m="1" x="1958"/>
        <item m="1" x="4728"/>
        <item m="1" x="1218"/>
        <item m="1" x="4670"/>
        <item m="1" x="3192"/>
        <item x="29"/>
        <item m="1" x="1871"/>
        <item x="303"/>
        <item m="1" x="2050"/>
        <item m="1" x="1945"/>
        <item m="1" x="4188"/>
        <item m="1" x="2191"/>
        <item m="1" x="4497"/>
        <item m="1" x="2702"/>
        <item m="1" x="1575"/>
        <item m="1" x="2814"/>
        <item m="1" x="3855"/>
        <item m="1" x="1065"/>
        <item x="316"/>
        <item m="1" x="963"/>
        <item m="1" x="2642"/>
        <item m="1" x="2854"/>
        <item m="1" x="1015"/>
        <item m="1" x="4040"/>
        <item m="1" x="1744"/>
        <item m="1" x="3726"/>
        <item m="1" x="3709"/>
        <item x="339"/>
        <item m="1" x="1875"/>
        <item m="1" x="4420"/>
        <item m="1" x="2010"/>
        <item m="1" x="1637"/>
        <item m="1" x="1148"/>
        <item m="1" x="1343"/>
        <item m="1" x="4108"/>
        <item m="1" x="1584"/>
        <item m="1" x="3774"/>
        <item m="1" x="2043"/>
        <item m="1" x="1268"/>
        <item m="1" x="2297"/>
        <item m="1" x="3459"/>
        <item m="1" x="864"/>
        <item m="1" x="3456"/>
        <item m="1" x="1362"/>
        <item m="1" x="3250"/>
        <item m="1" x="1967"/>
        <item m="1" x="1804"/>
        <item m="1" x="2722"/>
        <item m="1" x="3312"/>
        <item m="1" x="4597"/>
        <item m="1" x="1470"/>
        <item m="1" x="2886"/>
        <item m="1" x="4213"/>
        <item m="1" x="2531"/>
        <item m="1" x="3437"/>
        <item m="1" x="4831"/>
        <item m="1" x="4515"/>
        <item m="1" x="1203"/>
        <item m="1" x="1879"/>
        <item m="1" x="4724"/>
        <item m="1" x="4193"/>
        <item x="599"/>
        <item m="1" x="1515"/>
        <item m="1" x="3903"/>
        <item m="1" x="821"/>
        <item m="1" x="1432"/>
        <item m="1" x="2655"/>
        <item m="1" x="4318"/>
        <item m="1" x="792"/>
        <item m="1" x="3958"/>
        <item x="507"/>
        <item x="328"/>
        <item m="1" x="1514"/>
        <item m="1" x="4406"/>
        <item m="1" x="2735"/>
        <item m="1" x="3528"/>
        <item m="1" x="1140"/>
        <item m="1" x="2142"/>
        <item m="1" x="4917"/>
        <item m="1" x="742"/>
        <item m="1" x="893"/>
        <item m="1" x="3128"/>
        <item m="1" x="3703"/>
        <item m="1" x="4105"/>
        <item m="1" x="3261"/>
        <item x="84"/>
        <item m="1" x="1276"/>
        <item x="583"/>
        <item m="1" x="4395"/>
        <item x="256"/>
        <item m="1" x="1982"/>
        <item m="1" x="2511"/>
        <item m="1" x="4135"/>
        <item m="1" x="1138"/>
        <item m="1" x="828"/>
        <item m="1" x="1463"/>
        <item m="1" x="1869"/>
        <item m="1" x="1072"/>
        <item x="130"/>
        <item m="1" x="1845"/>
        <item m="1" x="4465"/>
        <item m="1" x="4313"/>
        <item m="1" x="943"/>
        <item x="485"/>
        <item m="1" x="4518"/>
        <item m="1" x="643"/>
        <item m="1" x="2749"/>
        <item m="1" x="2336"/>
        <item m="1" x="4242"/>
        <item m="1" x="2198"/>
        <item m="1" x="4208"/>
        <item m="1" x="826"/>
        <item m="1" x="4877"/>
        <item m="1" x="3269"/>
        <item m="1" x="2330"/>
        <item m="1" x="2935"/>
        <item m="1" x="846"/>
        <item m="1" x="2685"/>
        <item m="1" x="1786"/>
        <item x="164"/>
        <item m="1" x="996"/>
        <item m="1" x="845"/>
        <item x="480"/>
        <item m="1" x="2209"/>
        <item x="210"/>
        <item m="1" x="1374"/>
        <item m="1" x="1894"/>
        <item x="421"/>
        <item m="1" x="1479"/>
        <item m="1" x="2885"/>
        <item m="1" x="3989"/>
        <item x="400"/>
        <item m="1" x="626"/>
        <item m="1" x="2652"/>
        <item m="1" x="3545"/>
        <item m="1" x="4752"/>
        <item m="1" x="641"/>
        <item m="1" x="4469"/>
        <item m="1" x="2792"/>
        <item m="1" x="1561"/>
        <item m="1" x="2802"/>
        <item x="374"/>
        <item m="1" x="2348"/>
        <item x="588"/>
        <item m="1" x="1721"/>
        <item m="1" x="3417"/>
        <item m="1" x="784"/>
        <item m="1" x="2215"/>
        <item m="1" x="3343"/>
        <item m="1" x="1920"/>
        <item m="1" x="2329"/>
        <item m="1" x="4114"/>
        <item m="1" x="1400"/>
        <item m="1" x="1001"/>
        <item m="1" x="4671"/>
        <item x="577"/>
        <item m="1" x="1060"/>
        <item m="1" x="4582"/>
        <item m="1" x="4610"/>
        <item x="75"/>
        <item x="190"/>
        <item m="1" x="2145"/>
        <item m="1" x="4688"/>
        <item m="1" x="3246"/>
        <item x="420"/>
        <item x="249"/>
        <item m="1" x="2138"/>
        <item m="1" x="4359"/>
        <item m="1" x="4017"/>
        <item m="1" x="2132"/>
        <item x="154"/>
        <item m="1" x="3053"/>
        <item m="1" x="4274"/>
        <item m="1" x="2382"/>
        <item m="1" x="928"/>
        <item m="1" x="1717"/>
        <item m="1" x="1300"/>
        <item m="1" x="732"/>
        <item m="1" x="3305"/>
        <item m="1" x="2769"/>
        <item m="1" x="2472"/>
        <item x="224"/>
        <item m="1" x="2640"/>
        <item m="1" x="4029"/>
        <item m="1" x="1934"/>
        <item m="1" x="1565"/>
        <item m="1" x="2873"/>
        <item m="1" x="1955"/>
        <item m="1" x="4754"/>
        <item m="1" x="2839"/>
        <item m="1" x="2137"/>
        <item x="443"/>
        <item m="1" x="3225"/>
        <item m="1" x="3289"/>
        <item m="1" x="3804"/>
        <item m="1" x="3227"/>
        <item m="1" x="1124"/>
        <item m="1" x="2512"/>
        <item m="1" x="3124"/>
        <item m="1" x="3243"/>
        <item m="1" x="921"/>
        <item m="1" x="3945"/>
        <item m="1" x="4335"/>
        <item m="1" x="3010"/>
        <item m="1" x="3065"/>
        <item m="1" x="3340"/>
        <item m="1" x="627"/>
        <item m="1" x="4672"/>
        <item m="1" x="2592"/>
        <item m="1" x="3938"/>
        <item m="1" x="2947"/>
        <item x="106"/>
        <item m="1" x="4137"/>
        <item m="1" x="674"/>
        <item m="1" x="1239"/>
        <item m="1" x="4595"/>
        <item m="1" x="3939"/>
        <item m="1" x="2419"/>
        <item m="1" x="4235"/>
        <item m="1" x="3533"/>
        <item m="1" x="3160"/>
        <item m="1" x="4027"/>
        <item m="1" x="3441"/>
        <item m="1" x="2389"/>
        <item m="1" x="2197"/>
        <item m="1" x="1892"/>
        <item m="1" x="2601"/>
        <item m="1" x="2837"/>
        <item m="1" x="2893"/>
        <item m="1" x="4100"/>
        <item m="1" x="1340"/>
        <item m="1" x="1635"/>
        <item m="1" x="1079"/>
        <item m="1" x="1323"/>
        <item m="1" x="1698"/>
        <item m="1" x="3111"/>
        <item m="1" x="2723"/>
        <item m="1" x="1628"/>
        <item m="1" x="3543"/>
        <item x="174"/>
        <item m="1" x="1070"/>
        <item m="1" x="3873"/>
        <item m="1" x="4377"/>
        <item m="1" x="4059"/>
        <item x="5"/>
        <item m="1" x="700"/>
        <item m="1" x="2843"/>
        <item m="1" x="1928"/>
        <item m="1" x="2513"/>
        <item m="1" x="4792"/>
        <item m="1" x="1347"/>
        <item m="1" x="2277"/>
        <item m="1" x="2035"/>
        <item x="144"/>
        <item m="1" x="3846"/>
        <item m="1" x="2575"/>
        <item m="1" x="4182"/>
        <item m="1" x="1387"/>
        <item x="91"/>
        <item m="1" x="2610"/>
        <item m="1" x="4341"/>
        <item m="1" x="2026"/>
        <item m="1" x="4169"/>
        <item m="1" x="688"/>
        <item m="1" x="2179"/>
        <item m="1" x="3854"/>
        <item m="1" x="2325"/>
        <item m="1" x="3702"/>
        <item m="1" x="3607"/>
        <item m="1" x="908"/>
        <item m="1" x="4685"/>
        <item m="1" x="2968"/>
        <item m="1" x="1780"/>
        <item m="1" x="2553"/>
        <item m="1" x="4764"/>
        <item m="1" x="2459"/>
        <item m="1" x="4339"/>
        <item x="433"/>
        <item m="1" x="1965"/>
        <item m="1" x="603"/>
        <item m="1" x="4666"/>
        <item m="1" x="4663"/>
        <item m="1" x="848"/>
        <item m="1" x="1235"/>
        <item m="1" x="3450"/>
        <item m="1" x="3594"/>
        <item x="349"/>
        <item m="1" x="2267"/>
        <item m="1" x="4813"/>
        <item m="1" x="3810"/>
        <item m="1" x="1160"/>
        <item m="1" x="3296"/>
        <item m="1" x="2103"/>
        <item m="1" x="1972"/>
        <item m="1" x="4001"/>
        <item x="2"/>
        <item x="505"/>
        <item x="132"/>
        <item m="1" x="4046"/>
        <item x="131"/>
        <item m="1" x="1442"/>
        <item m="1" x="2811"/>
        <item m="1" x="1233"/>
        <item m="1" x="1902"/>
        <item m="1" x="2025"/>
        <item m="1" x="902"/>
        <item m="1" x="4138"/>
        <item m="1" x="4941"/>
        <item m="1" x="3185"/>
        <item m="1" x="4781"/>
        <item m="1" x="1034"/>
        <item m="1" x="2251"/>
        <item m="1" x="3381"/>
        <item m="1" x="3734"/>
        <item m="1" x="1116"/>
        <item m="1" x="3651"/>
        <item m="1" x="4756"/>
        <item m="1" x="1295"/>
        <item m="1" x="2111"/>
        <item m="1" x="2439"/>
        <item m="1" x="870"/>
        <item m="1" x="816"/>
        <item m="1" x="3632"/>
        <item x="461"/>
        <item m="1" x="922"/>
        <item m="1" x="2602"/>
        <item m="1" x="2057"/>
        <item m="1" x="1017"/>
        <item m="1" x="3742"/>
        <item x="327"/>
        <item m="1" x="866"/>
        <item m="1" x="1081"/>
        <item m="1" x="960"/>
        <item m="1" x="2499"/>
        <item m="1" x="3539"/>
        <item m="1" x="4269"/>
        <item m="1" x="3895"/>
        <item m="1" x="3565"/>
        <item x="277"/>
        <item m="1" x="1663"/>
        <item m="1" x="3693"/>
        <item m="1" x="3354"/>
        <item m="1" x="2993"/>
        <item m="1" x="936"/>
        <item m="1" x="1018"/>
        <item m="1" x="3091"/>
        <item m="1" x="1477"/>
        <item m="1" x="2616"/>
        <item m="1" x="4096"/>
        <item m="1" x="4109"/>
        <item m="1" x="2079"/>
        <item m="1" x="2827"/>
        <item x="129"/>
        <item m="1" x="605"/>
        <item m="1" x="2745"/>
        <item x="61"/>
        <item m="1" x="984"/>
        <item m="1" x="4824"/>
        <item m="1" x="3058"/>
        <item m="1" x="692"/>
        <item x="251"/>
        <item m="1" x="2860"/>
        <item m="1" x="990"/>
        <item x="111"/>
        <item m="1" x="3151"/>
        <item m="1" x="2565"/>
        <item m="1" x="616"/>
        <item m="1" x="2773"/>
        <item m="1" x="755"/>
        <item m="1" x="2167"/>
        <item m="1" x="3078"/>
        <item m="1" x="1333"/>
        <item m="1" x="1570"/>
        <item m="1" x="1469"/>
        <item x="88"/>
        <item m="1" x="3063"/>
        <item x="206"/>
        <item m="1" x="4085"/>
        <item m="1" x="3975"/>
        <item x="65"/>
        <item m="1" x="4897"/>
        <item m="1" x="4183"/>
        <item m="1" x="4896"/>
        <item m="1" x="3027"/>
        <item m="1" x="4328"/>
        <item m="1" x="4784"/>
        <item m="1" x="4019"/>
        <item m="1" x="4761"/>
        <item m="1" x="2732"/>
        <item m="1" x="3147"/>
        <item m="1" x="4438"/>
        <item m="1" x="3148"/>
        <item m="1" x="4914"/>
        <item m="1" x="3292"/>
        <item m="1" x="3505"/>
        <item x="429"/>
        <item m="1" x="4378"/>
        <item m="1" x="2830"/>
        <item m="1" x="3767"/>
        <item m="1" x="855"/>
        <item m="1" x="1898"/>
        <item m="1" x="2545"/>
        <item m="1" x="3684"/>
        <item m="1" x="4957"/>
        <item m="1" x="2268"/>
        <item m="1" x="1150"/>
        <item m="1" x="4063"/>
        <item m="1" x="2796"/>
        <item x="438"/>
        <item m="1" x="4654"/>
        <item m="1" x="2301"/>
        <item m="1" x="3648"/>
        <item m="1" x="909"/>
        <item m="1" x="3950"/>
        <item m="1" x="3422"/>
        <item x="237"/>
        <item m="1" x="1390"/>
        <item m="1" x="3218"/>
        <item m="1" x="4091"/>
        <item m="1" x="1174"/>
        <item x="321"/>
        <item m="1" x="1000"/>
        <item x="593"/>
        <item m="1" x="3324"/>
        <item m="1" x="2176"/>
        <item m="1" x="2273"/>
        <item m="1" x="793"/>
        <item m="1" x="2022"/>
        <item m="1" x="1590"/>
        <item m="1" x="4817"/>
        <item m="1" x="772"/>
        <item m="1" x="2535"/>
        <item m="1" x="3655"/>
        <item m="1" x="754"/>
        <item x="228"/>
        <item m="1" x="3879"/>
        <item m="1" x="636"/>
        <item m="1" x="3365"/>
        <item m="1" x="2151"/>
        <item m="1" x="3409"/>
        <item m="1" x="1951"/>
        <item m="1" x="4389"/>
        <item m="1" x="3701"/>
        <item m="1" x="3137"/>
        <item m="1" x="2200"/>
        <item m="1" x="3904"/>
        <item m="1" x="4277"/>
        <item m="1" x="1431"/>
        <item m="1" x="951"/>
        <item m="1" x="2457"/>
        <item m="1" x="2805"/>
        <item m="1" x="4943"/>
        <item x="107"/>
        <item m="1" x="2052"/>
        <item m="1" x="3106"/>
        <item m="1" x="3816"/>
        <item m="1" x="659"/>
        <item m="1" x="3326"/>
        <item m="1" x="4833"/>
        <item m="1" x="2343"/>
        <item m="1" x="3350"/>
        <item m="1" x="2977"/>
        <item m="1" x="2344"/>
        <item m="1" x="4391"/>
        <item m="1" x="2687"/>
        <item m="1" x="1131"/>
        <item m="1" x="2626"/>
        <item m="1" x="1171"/>
        <item x="314"/>
        <item m="1" x="3420"/>
        <item m="1" x="4574"/>
        <item m="1" x="4839"/>
        <item m="1" x="4152"/>
        <item m="1" x="1277"/>
        <item m="1" x="4662"/>
        <item x="320"/>
        <item m="1" x="2427"/>
        <item m="1" x="4175"/>
        <item m="1" x="4520"/>
        <item m="1" x="2566"/>
        <item m="1" x="3072"/>
        <item x="441"/>
        <item m="1" x="3169"/>
        <item m="1" x="1368"/>
        <item x="162"/>
        <item m="1" x="4090"/>
        <item m="1" x="4397"/>
        <item m="1" x="4075"/>
        <item m="1" x="4340"/>
        <item m="1" x="3797"/>
        <item m="1" x="3204"/>
        <item m="1" x="2781"/>
        <item m="1" x="4849"/>
        <item m="1" x="4421"/>
        <item m="1" x="687"/>
        <item m="1" x="3620"/>
        <item m="1" x="3357"/>
        <item x="546"/>
        <item m="1" x="4071"/>
        <item x="80"/>
        <item m="1" x="3690"/>
        <item x="506"/>
        <item m="1" x="3964"/>
        <item m="1" x="1128"/>
        <item x="7"/>
        <item m="1" x="3980"/>
        <item m="1" x="4457"/>
        <item m="1" x="2916"/>
        <item m="1" x="4453"/>
        <item m="1" x="2400"/>
        <item m="1" x="1355"/>
        <item m="1" x="1926"/>
        <item m="1" x="2099"/>
        <item m="1" x="3946"/>
        <item m="1" x="4481"/>
        <item m="1" x="4667"/>
        <item m="1" x="4266"/>
        <item m="1" x="4802"/>
        <item m="1" x="1129"/>
        <item m="1" x="1636"/>
        <item m="1" x="2375"/>
        <item m="1" x="1686"/>
        <item m="1" x="3068"/>
        <item m="1" x="2213"/>
        <item m="1" x="4070"/>
        <item m="1" x="3519"/>
        <item m="1" x="3920"/>
        <item m="1" x="2465"/>
        <item m="1" x="2381"/>
        <item m="1" x="4538"/>
        <item m="1" x="3260"/>
        <item m="1" x="2473"/>
        <item m="1" x="1942"/>
        <item x="585"/>
        <item m="1" x="878"/>
        <item m="1" x="3319"/>
        <item x="22"/>
        <item m="1" x="3927"/>
        <item m="1" x="3224"/>
        <item m="1" x="4279"/>
        <item m="1" x="1538"/>
        <item m="1" x="3674"/>
        <item m="1" x="3740"/>
        <item m="1" x="1714"/>
        <item x="114"/>
        <item m="1" x="3570"/>
        <item m="1" x="4311"/>
        <item m="1" x="2475"/>
        <item m="1" x="1108"/>
        <item m="1" x="3156"/>
        <item x="73"/>
        <item m="1" x="4692"/>
        <item m="1" x="3669"/>
        <item m="1" x="4950"/>
        <item m="1" x="1213"/>
        <item m="1" x="1700"/>
        <item m="1" x="3673"/>
        <item m="1" x="4058"/>
        <item m="1" x="3891"/>
        <item m="1" x="4470"/>
        <item m="1" x="1655"/>
        <item m="1" x="2786"/>
        <item m="1" x="1554"/>
        <item m="1" x="4092"/>
        <item m="1" x="841"/>
        <item m="1" x="1784"/>
        <item x="389"/>
        <item m="1" x="4485"/>
        <item x="501"/>
        <item m="1" x="1837"/>
        <item x="410"/>
        <item m="1" x="1009"/>
        <item m="1" x="4765"/>
        <item x="301"/>
        <item m="1" x="4337"/>
        <item x="365"/>
        <item m="1" x="1937"/>
        <item m="1" x="3942"/>
        <item m="1" x="4312"/>
        <item m="1" x="1212"/>
        <item m="1" x="4860"/>
        <item m="1" x="2189"/>
        <item m="1" x="2557"/>
        <item x="382"/>
        <item m="1" x="4171"/>
        <item m="1" x="1767"/>
        <item m="1" x="2485"/>
        <item m="1" x="1578"/>
        <item m="1" x="3979"/>
        <item m="1" x="1853"/>
        <item m="1" x="1261"/>
        <item m="1" x="1091"/>
        <item m="1" x="4131"/>
        <item m="1" x="4586"/>
        <item m="1" x="3558"/>
        <item m="1" x="3019"/>
        <item m="1" x="1258"/>
        <item m="1" x="986"/>
        <item x="305"/>
        <item m="1" x="2607"/>
        <item m="1" x="1445"/>
        <item m="1" x="4448"/>
        <item m="1" x="856"/>
        <item m="1" x="4176"/>
        <item m="1" x="3830"/>
        <item m="1" x="3366"/>
        <item m="1" x="4267"/>
        <item m="1" x="1987"/>
        <item m="1" x="884"/>
        <item m="1" x="726"/>
        <item m="1" x="4320"/>
        <item m="1" x="4743"/>
        <item m="1" x="1877"/>
        <item m="1" x="1299"/>
        <item m="1" x="2740"/>
        <item m="1" x="1251"/>
        <item m="1" x="3529"/>
        <item m="1" x="2891"/>
        <item m="1" x="4566"/>
        <item m="1" x="2133"/>
        <item m="1" x="661"/>
        <item m="1" x="2292"/>
        <item m="1" x="3787"/>
        <item m="1" x="2984"/>
        <item m="1" x="3971"/>
        <item m="1" x="2061"/>
        <item m="1" x="1946"/>
        <item x="278"/>
        <item m="1" x="2793"/>
        <item m="1" x="3286"/>
        <item m="1" x="4064"/>
        <item m="1" x="4622"/>
        <item m="1" x="3026"/>
        <item x="318"/>
        <item m="1" x="1163"/>
        <item m="1" x="1286"/>
        <item m="1" x="3270"/>
        <item m="1" x="1316"/>
        <item m="1" x="2016"/>
        <item m="1" x="4386"/>
        <item m="1" x="4564"/>
        <item m="1" x="645"/>
        <item m="1" x="2942"/>
        <item m="1" x="2615"/>
        <item m="1" x="2523"/>
        <item m="1" x="3866"/>
        <item m="1" x="2182"/>
        <item m="1" x="4116"/>
        <item m="1" x="2303"/>
        <item m="1" x="2881"/>
        <item x="240"/>
        <item m="1" x="762"/>
        <item m="1" x="3355"/>
        <item m="1" x="4642"/>
        <item m="1" x="2398"/>
        <item m="1" x="4412"/>
        <item m="1" x="3781"/>
        <item m="1" x="3125"/>
        <item m="1" x="987"/>
        <item m="1" x="3369"/>
        <item m="1" x="2053"/>
        <item m="1" x="4942"/>
        <item m="1" x="2338"/>
        <item m="1" x="1096"/>
        <item m="1" x="3442"/>
        <item m="1" x="4863"/>
        <item m="1" x="3135"/>
        <item m="1" x="1791"/>
        <item m="1" x="4780"/>
        <item m="1" x="4013"/>
        <item x="193"/>
        <item m="1" x="3117"/>
        <item m="1" x="1956"/>
        <item m="1" x="3871"/>
        <item m="1" x="3494"/>
        <item m="1" x="4228"/>
        <item m="1" x="4722"/>
        <item m="1" x="3159"/>
        <item x="243"/>
        <item m="1" x="2703"/>
        <item m="1" x="3877"/>
        <item m="1" x="4760"/>
        <item m="1" x="3247"/>
        <item m="1" x="1246"/>
        <item x="163"/>
        <item m="1" x="3031"/>
        <item m="1" x="972"/>
        <item m="1" x="2679"/>
        <item m="1" x="3109"/>
        <item m="1" x="2118"/>
        <item m="1" x="1020"/>
        <item m="1" x="2753"/>
        <item m="1" x="4777"/>
        <item x="391"/>
        <item m="1" x="2908"/>
        <item m="1" x="2774"/>
        <item m="1" x="2569"/>
        <item m="1" x="4463"/>
        <item m="1" x="4477"/>
        <item m="1" x="2152"/>
        <item m="1" x="1243"/>
        <item m="1" x="2056"/>
        <item m="1" x="4086"/>
        <item x="379"/>
        <item m="1" x="2431"/>
        <item m="1" x="1966"/>
        <item m="1" x="2780"/>
        <item m="1" x="3267"/>
        <item m="1" x="4089"/>
        <item m="1" x="2934"/>
        <item m="1" x="3415"/>
        <item x="343"/>
        <item m="1" x="4264"/>
        <item m="1" x="1495"/>
        <item m="1" x="2909"/>
        <item m="1" x="3619"/>
        <item m="1" x="2206"/>
        <item m="1" x="3285"/>
        <item m="1" x="2794"/>
        <item m="1" x="1292"/>
        <item m="1" x="3379"/>
        <item m="1" x="3775"/>
        <item m="1" x="1683"/>
        <item m="1" x="3434"/>
        <item m="1" x="1158"/>
        <item x="561"/>
        <item m="1" x="2135"/>
        <item m="1" x="2736"/>
        <item m="1" x="1225"/>
        <item x="332"/>
        <item x="116"/>
        <item x="89"/>
        <item m="1" x="1437"/>
        <item x="574"/>
        <item m="1" x="2573"/>
        <item m="1" x="4709"/>
        <item m="1" x="1671"/>
        <item m="1" x="1986"/>
        <item m="1" x="652"/>
        <item x="466"/>
        <item m="1" x="1237"/>
        <item m="1" x="1275"/>
        <item m="1" x="1749"/>
        <item m="1" x="4259"/>
        <item x="294"/>
        <item x="418"/>
        <item m="1" x="1500"/>
        <item m="1" x="4978"/>
        <item m="1" x="3307"/>
        <item m="1" x="3044"/>
        <item m="1" x="1577"/>
        <item m="1" x="2074"/>
        <item m="1" x="3152"/>
        <item m="1" x="3676"/>
        <item m="1" x="2069"/>
        <item m="1" x="1371"/>
        <item m="1" x="3146"/>
        <item m="1" x="1310"/>
        <item m="1" x="910"/>
        <item m="1" x="1106"/>
        <item m="1" x="967"/>
        <item m="1" x="1357"/>
        <item m="1" x="2998"/>
        <item m="1" x="4850"/>
        <item m="1" x="1273"/>
        <item m="1" x="890"/>
        <item m="1" x="1465"/>
        <item m="1" x="2928"/>
        <item m="1" x="1285"/>
        <item m="1" x="3093"/>
        <item m="1" x="2196"/>
        <item m="1" x="2718"/>
        <item m="1" x="2062"/>
        <item x="295"/>
        <item m="1" x="3275"/>
        <item m="1" x="1215"/>
        <item m="1" x="3278"/>
        <item x="296"/>
        <item m="1" x="3857"/>
        <item m="1" x="1904"/>
        <item m="1" x="2458"/>
        <item m="1" x="4037"/>
        <item m="1" x="2080"/>
        <item m="1" x="4534"/>
        <item x="395"/>
        <item m="1" x="1831"/>
        <item m="1" x="1482"/>
        <item m="1" x="1930"/>
        <item m="1" x="2677"/>
        <item m="1" x="2930"/>
        <item m="1" x="3814"/>
        <item m="1" x="761"/>
        <item x="567"/>
        <item m="1" x="1503"/>
        <item m="1" x="3100"/>
        <item m="1" x="4528"/>
        <item m="1" x="3416"/>
        <item m="1" x="3374"/>
        <item m="1" x="4955"/>
        <item m="1" x="2104"/>
        <item m="1" x="644"/>
        <item m="1" x="1055"/>
        <item x="54"/>
        <item x="329"/>
        <item m="1" x="1031"/>
        <item m="1" x="4224"/>
        <item m="1" x="4174"/>
        <item m="1" x="3408"/>
        <item m="1" x="780"/>
        <item m="1" x="2823"/>
        <item m="1" x="3820"/>
        <item m="1" x="4707"/>
        <item m="1" x="4971"/>
        <item x="81"/>
        <item m="1" x="2115"/>
        <item m="1" x="3576"/>
        <item m="1" x="4651"/>
        <item x="191"/>
        <item m="1" x="3165"/>
        <item m="1" x="4304"/>
        <item m="1" x="778"/>
        <item x="573"/>
        <item m="1" x="945"/>
        <item m="1" x="1449"/>
        <item x="422"/>
        <item m="1" x="1025"/>
        <item m="1" x="3514"/>
        <item m="1" x="655"/>
        <item m="1" x="2190"/>
        <item x="98"/>
        <item m="1" x="1649"/>
        <item m="1" x="4326"/>
        <item m="1" x="3468"/>
        <item m="1" x="985"/>
        <item m="1" x="1342"/>
        <item m="1" x="4763"/>
        <item x="448"/>
        <item m="1" x="2576"/>
        <item m="1" x="4804"/>
        <item m="1" x="2970"/>
        <item m="1" x="1530"/>
        <item m="1" x="4271"/>
        <item m="1" x="2550"/>
        <item m="1" x="1644"/>
        <item m="1" x="3552"/>
        <item m="1" x="935"/>
        <item m="1" x="4307"/>
        <item m="1" x="2644"/>
        <item x="74"/>
        <item m="1" x="3008"/>
        <item m="1" x="2278"/>
        <item m="1" x="4482"/>
        <item m="1" x="2957"/>
        <item m="1" x="2374"/>
        <item m="1" x="3599"/>
        <item m="1" x="917"/>
        <item m="1" x="2604"/>
        <item m="1" x="2397"/>
        <item m="1" x="4547"/>
        <item m="1" x="608"/>
        <item x="393"/>
        <item m="1" x="3919"/>
        <item m="1" x="4369"/>
        <item x="299"/>
        <item m="1" x="1201"/>
        <item m="1" x="3680"/>
        <item x="178"/>
        <item m="1" x="2349"/>
        <item m="1" x="2001"/>
        <item m="1" x="4049"/>
        <item m="1" x="4467"/>
        <item m="1" x="3375"/>
        <item m="1" x="2795"/>
        <item m="1" x="1968"/>
        <item m="1" x="2409"/>
        <item m="1" x="1624"/>
        <item m="1" x="4815"/>
        <item m="1" x="3112"/>
        <item m="1" x="2589"/>
        <item m="1" x="1753"/>
        <item m="1" x="4119"/>
        <item x="353"/>
        <item m="1" x="2861"/>
        <item m="1" x="2708"/>
        <item m="1" x="1882"/>
        <item m="1" x="950"/>
        <item m="1" x="1269"/>
        <item m="1" x="2538"/>
        <item m="1" x="3522"/>
        <item m="1" x="3443"/>
        <item m="1" x="3298"/>
        <item m="1" x="2046"/>
        <item m="1" x="4074"/>
        <item x="547"/>
        <item m="1" x="2455"/>
        <item m="1" x="2654"/>
        <item x="571"/>
        <item m="1" x="3454"/>
        <item m="1" x="2689"/>
        <item m="1" x="1058"/>
        <item m="1" x="3184"/>
        <item m="1" x="683"/>
        <item m="1" x="2285"/>
        <item m="1" x="685"/>
        <item m="1" x="4190"/>
        <item m="1" x="3959"/>
        <item m="1" x="725"/>
        <item m="1" x="4592"/>
        <item m="1" x="4757"/>
        <item x="558"/>
        <item m="1" x="4755"/>
        <item x="209"/>
        <item m="1" x="2634"/>
        <item m="1" x="1110"/>
        <item m="1" x="1109"/>
        <item m="1" x="1739"/>
        <item m="1" x="4097"/>
        <item m="1" x="1475"/>
        <item m="1" x="2160"/>
        <item x="208"/>
        <item m="1" x="3126"/>
        <item m="1" x="1923"/>
        <item x="239"/>
        <item m="1" x="1010"/>
        <item m="1" x="2907"/>
        <item m="1" x="1074"/>
        <item m="1" x="913"/>
        <item m="1" x="2973"/>
        <item m="1" x="2961"/>
        <item m="1" x="2384"/>
        <item m="1" x="3429"/>
        <item m="1" x="3564"/>
        <item m="1" x="3773"/>
        <item m="1" x="2962"/>
        <item m="1" x="2395"/>
        <item m="1" x="606"/>
        <item m="1" x="3863"/>
        <item m="1" x="3566"/>
        <item m="1" x="2413"/>
        <item m="1" x="3706"/>
        <item m="1" x="2208"/>
        <item m="1" x="4144"/>
        <item m="1" x="1948"/>
        <item m="1" x="2394"/>
        <item m="1" x="3438"/>
        <item m="1" x="4882"/>
        <item m="1" x="3977"/>
        <item m="1" x="2468"/>
        <item m="1" x="3649"/>
        <item m="1" x="2946"/>
        <item m="1" x="3937"/>
        <item m="1" x="4475"/>
        <item m="1" x="3720"/>
        <item m="1" x="3672"/>
        <item m="1" x="3291"/>
        <item m="1" x="3371"/>
        <item m="1" x="2953"/>
        <item m="1" x="748"/>
        <item m="1" x="1585"/>
        <item x="274"/>
        <item m="1" x="3212"/>
        <item m="1" x="4509"/>
        <item m="1" x="3725"/>
        <item m="1" x="4972"/>
        <item m="1" x="2396"/>
        <item m="1" x="1765"/>
        <item x="127"/>
        <item m="1" x="4840"/>
        <item x="436"/>
        <item m="1" x="2876"/>
        <item m="1" x="3373"/>
        <item m="1" x="1794"/>
        <item m="1" x="623"/>
        <item m="1" x="1550"/>
        <item m="1" x="2944"/>
        <item x="157"/>
        <item m="1" x="2558"/>
        <item m="1" x="1523"/>
        <item m="1" x="1657"/>
        <item m="1" x="2169"/>
        <item m="1" x="2291"/>
        <item m="1" x="2047"/>
        <item m="1" x="882"/>
        <item m="1" x="4577"/>
        <item m="1" x="4324"/>
        <item m="1" x="927"/>
        <item m="1" x="2933"/>
        <item m="1" x="719"/>
        <item m="1" x="1195"/>
        <item m="1" x="2263"/>
        <item m="1" x="4167"/>
        <item m="1" x="620"/>
        <item m="1" x="4344"/>
        <item x="494"/>
        <item m="1" x="3731"/>
        <item m="1" x="2141"/>
        <item m="1" x="958"/>
        <item m="1" x="4864"/>
        <item m="1" x="3768"/>
        <item m="1" x="689"/>
        <item m="1" x="4012"/>
        <item m="1" x="2804"/>
        <item m="1" x="3074"/>
        <item x="133"/>
        <item m="1" x="4949"/>
        <item m="1" x="4442"/>
        <item m="1" x="4310"/>
        <item m="1" x="4400"/>
        <item m="1" x="3753"/>
        <item m="1" x="4300"/>
        <item m="1" x="925"/>
        <item m="1" x="2940"/>
        <item m="1" x="741"/>
        <item m="1" x="2894"/>
        <item m="1" x="4432"/>
        <item m="1" x="2542"/>
        <item m="1" x="1852"/>
        <item m="1" x="4268"/>
        <item m="1" x="3588"/>
        <item m="1" x="4699"/>
        <item m="1" x="4025"/>
        <item m="1" x="3616"/>
        <item m="1" x="1152"/>
        <item m="1" x="2696"/>
        <item m="1" x="1474"/>
        <item m="1" x="4103"/>
        <item m="1" x="1647"/>
        <item m="1" x="4607"/>
        <item m="1" x="2516"/>
        <item m="1" x="4693"/>
        <item m="1" x="4023"/>
        <item m="1" x="1254"/>
        <item m="1" x="3430"/>
        <item m="1" x="4865"/>
        <item m="1" x="3356"/>
        <item m="1" x="1185"/>
        <item m="1" x="2110"/>
        <item m="1" x="867"/>
        <item m="1" x="1812"/>
        <item m="1" x="3067"/>
        <item m="1" x="1888"/>
        <item m="1" x="3069"/>
        <item x="445"/>
        <item x="267"/>
        <item m="1" x="4579"/>
        <item x="219"/>
        <item m="1" x="1681"/>
        <item m="1" x="4488"/>
        <item m="1" x="1491"/>
        <item x="40"/>
        <item m="1" x="1159"/>
        <item m="1" x="995"/>
        <item m="1" x="2054"/>
        <item m="1" x="896"/>
        <item m="1" x="1014"/>
        <item m="1" x="1408"/>
        <item m="1" x="3683"/>
        <item m="1" x="2568"/>
        <item m="1" x="3123"/>
        <item m="1" x="3735"/>
        <item m="1" x="2388"/>
        <item x="216"/>
        <item m="1" x="4385"/>
        <item m="1" x="4294"/>
        <item m="1" x="2759"/>
        <item m="1" x="3017"/>
        <item m="1" x="1006"/>
        <item m="1" x="2955"/>
        <item m="1" x="1204"/>
        <item m="1" x="3633"/>
        <item x="145"/>
        <item x="95"/>
        <item m="1" x="1924"/>
        <item x="67"/>
        <item m="1" x="2741"/>
        <item m="1" x="932"/>
        <item m="1" x="3603"/>
        <item m="1" x="4348"/>
        <item m="1" x="1228"/>
        <item m="1" x="3447"/>
        <item m="1" x="1906"/>
        <item x="602"/>
        <item m="1" x="803"/>
        <item m="1" x="4788"/>
        <item m="1" x="1808"/>
        <item m="1" x="4970"/>
        <item m="1" x="2921"/>
        <item m="1" x="4545"/>
        <item m="1" x="3271"/>
        <item m="1" x="1050"/>
        <item m="1" x="3527"/>
        <item m="1" x="1750"/>
        <item m="1" x="885"/>
        <item m="1" x="1180"/>
        <item m="1" x="3841"/>
        <item m="1" x="3896"/>
        <item m="1" x="3642"/>
        <item m="1" x="4121"/>
        <item m="1" x="3790"/>
        <item m="1" x="4405"/>
        <item m="1" x="2114"/>
        <item m="1" x="4251"/>
        <item m="1" x="2878"/>
        <item x="373"/>
        <item m="1" x="3007"/>
        <item m="1" x="3515"/>
        <item m="1" x="3557"/>
        <item m="1" x="1252"/>
        <item m="1" x="2715"/>
        <item x="179"/>
        <item x="472"/>
        <item x="26"/>
        <item m="1" x="1595"/>
        <item m="1" x="3449"/>
        <item m="1" x="4843"/>
        <item m="1" x="4376"/>
        <item m="1" x="4679"/>
        <item m="1" x="1216"/>
        <item m="1" x="830"/>
        <item m="1" x="617"/>
        <item m="1" x="1311"/>
        <item m="1" x="2078"/>
        <item x="285"/>
        <item m="1" x="1513"/>
        <item m="1" x="923"/>
        <item m="1" x="1707"/>
        <item x="232"/>
        <item m="1" x="2163"/>
        <item m="1" x="1521"/>
        <item m="1" x="1650"/>
        <item m="1" x="4032"/>
        <item m="1" x="2875"/>
        <item x="491"/>
        <item m="1" x="4542"/>
        <item m="1" x="1402"/>
        <item m="1" x="4384"/>
        <item m="1" x="2594"/>
        <item m="1" x="1490"/>
        <item m="1" x="854"/>
        <item m="1" x="3842"/>
        <item m="1" x="3612"/>
        <item x="570"/>
        <item m="1" x="2922"/>
        <item m="1" x="2670"/>
        <item m="1" x="3182"/>
        <item m="1" x="3395"/>
        <item m="1" x="4559"/>
        <item m="1" x="4601"/>
        <item m="1" x="965"/>
        <item m="1" x="4848"/>
        <item m="1" x="799"/>
        <item m="1" x="3300"/>
        <item m="1" x="1613"/>
        <item m="1" x="1433"/>
        <item m="1" x="3353"/>
        <item m="1" x="4161"/>
        <item m="1" x="2923"/>
        <item m="1" x="3376"/>
        <item m="1" x="2454"/>
        <item m="1" x="4403"/>
        <item m="1" x="2332"/>
        <item m="1" x="3336"/>
        <item m="1" x="3707"/>
        <item m="1" x="1822"/>
        <item m="1" x="759"/>
        <item m="1" x="2506"/>
        <item m="1" x="3488"/>
        <item m="1" x="699"/>
        <item m="1" x="1122"/>
        <item m="1" x="1089"/>
        <item m="1" x="1981"/>
        <item m="1" x="2919"/>
        <item x="477"/>
        <item m="1" x="723"/>
        <item m="1" x="4014"/>
        <item m="1" x="2826"/>
        <item m="1" x="3361"/>
        <item m="1" x="1604"/>
        <item m="1" x="2559"/>
        <item m="1" x="4095"/>
        <item x="580"/>
        <item m="1" x="731"/>
        <item m="1" x="4959"/>
        <item m="1" x="2798"/>
        <item x="141"/>
        <item m="1" x="1746"/>
        <item m="1" x="4894"/>
        <item m="1" x="941"/>
        <item m="1" x="4262"/>
        <item m="1" x="3280"/>
        <item x="0"/>
        <item m="1" x="1105"/>
        <item m="1" x="4217"/>
        <item m="1" x="4425"/>
        <item m="1" x="843"/>
        <item x="1"/>
        <item m="1" x="4593"/>
        <item m="1" x="1032"/>
        <item m="1" x="1098"/>
        <item m="1" x="4814"/>
        <item m="1" x="2192"/>
        <item m="1" x="911"/>
        <item m="1" x="4900"/>
        <item m="1" x="3362"/>
        <item m="1" x="1035"/>
        <item m="1" x="997"/>
        <item m="1" x="1771"/>
        <item m="1" x="3584"/>
        <item m="1" x="4511"/>
        <item m="1" x="1461"/>
        <item m="1" x="3513"/>
        <item x="542"/>
        <item m="1" x="2442"/>
        <item m="1" x="4830"/>
        <item m="1" x="1541"/>
        <item m="1" x="2629"/>
        <item m="1" x="1606"/>
        <item x="41"/>
        <item m="1" x="2165"/>
        <item m="1" x="613"/>
        <item m="1" x="2129"/>
        <item m="1" x="1435"/>
        <item m="1" x="711"/>
        <item m="1" x="1977"/>
        <item m="1" x="1840"/>
        <item x="554"/>
        <item m="1" x="1762"/>
        <item x="222"/>
        <item m="1" x="2423"/>
        <item m="1" x="2032"/>
        <item m="1" x="817"/>
        <item m="1" x="1263"/>
        <item m="1" x="2849"/>
        <item m="1" x="1884"/>
        <item m="1" x="2307"/>
        <item m="1" x="3510"/>
        <item x="406"/>
        <item m="1" x="1155"/>
        <item m="1" x="3878"/>
        <item m="1" x="1305"/>
        <item m="1" x="3811"/>
        <item x="453"/>
        <item m="1" x="2883"/>
        <item m="1" x="4818"/>
        <item m="1" x="747"/>
        <item m="1" x="1569"/>
        <item m="1" x="1376"/>
        <item m="1" x="4440"/>
        <item x="235"/>
        <item m="1" x="3232"/>
        <item m="1" x="1518"/>
        <item m="1" x="721"/>
        <item m="1" x="714"/>
        <item m="1" x="2241"/>
        <item m="1" x="3153"/>
        <item x="384"/>
        <item m="1" x="3667"/>
        <item m="1" x="3699"/>
        <item m="1" x="2681"/>
        <item m="1" x="658"/>
        <item m="1" x="2246"/>
        <item m="1" x="4981"/>
        <item m="1" x="4166"/>
        <item m="1" x="4884"/>
        <item m="1" x="3784"/>
        <item m="1" x="3661"/>
        <item m="1" x="3203"/>
        <item m="1" x="1507"/>
        <item m="1" x="1205"/>
        <item m="1" x="953"/>
        <item m="1" x="1512"/>
        <item m="1" x="3325"/>
        <item m="1" x="1612"/>
        <item m="1" x="2505"/>
        <item m="1" x="1861"/>
        <item m="1" x="4004"/>
        <item x="90"/>
        <item m="1" x="1741"/>
        <item m="1" x="3917"/>
        <item m="1" x="3845"/>
        <item m="1" x="3229"/>
        <item m="1" x="868"/>
        <item x="265"/>
        <item x="333"/>
        <item m="1" x="1598"/>
        <item m="1" x="4209"/>
        <item m="1" x="3988"/>
        <item m="1" x="1716"/>
        <item m="1" x="934"/>
        <item m="1" x="3872"/>
        <item m="1" x="2177"/>
        <item x="579"/>
        <item x="247"/>
        <item m="1" x="2725"/>
        <item m="1" x="4471"/>
        <item m="1" x="4250"/>
        <item m="1" x="4380"/>
        <item x="104"/>
        <item m="1" x="1795"/>
        <item m="1" x="2148"/>
        <item m="1" x="3193"/>
        <item m="1" x="3465"/>
        <item m="1" x="1964"/>
        <item m="1" x="2350"/>
        <item m="1" x="1743"/>
        <item m="1" x="3043"/>
        <item m="1" x="4982"/>
        <item m="1" x="4658"/>
        <item m="1" x="1586"/>
        <item m="1" x="4227"/>
        <item m="1" x="1224"/>
        <item m="1" x="2496"/>
        <item m="1" x="3801"/>
        <item m="1" x="2831"/>
        <item m="1" x="3627"/>
        <item x="275"/>
        <item m="1" x="2698"/>
        <item m="1" x="3190"/>
        <item x="566"/>
        <item m="1" x="2517"/>
        <item m="1" x="1979"/>
        <item m="1" x="2320"/>
        <item m="1" x="2051"/>
        <item m="1" x="1113"/>
        <item m="1" x="937"/>
        <item m="1" x="2333"/>
        <item m="1" x="660"/>
        <item m="1" x="1499"/>
        <item m="1" x="1833"/>
        <item m="1" x="4820"/>
        <item m="1" x="4084"/>
        <item m="1" x="4204"/>
        <item m="1" x="3040"/>
        <item x="300"/>
        <item x="125"/>
        <item m="1" x="3596"/>
        <item m="1" x="2071"/>
        <item m="1" x="2068"/>
        <item m="1" x="2467"/>
        <item m="1" x="2986"/>
        <item m="1" x="2757"/>
        <item m="1" x="819"/>
        <item m="1" x="1264"/>
        <item x="357"/>
        <item m="1" x="1868"/>
        <item m="1" x="4931"/>
        <item m="1" x="4920"/>
        <item x="584"/>
        <item m="1" x="2507"/>
        <item m="1" x="619"/>
        <item m="1" x="673"/>
        <item m="1" x="2905"/>
        <item m="1" x="1041"/>
        <item m="1" x="853"/>
        <item m="1" x="2779"/>
        <item m="1" x="1670"/>
        <item m="1" x="3297"/>
        <item x="70"/>
        <item m="1" x="1379"/>
        <item m="1" x="3249"/>
        <item m="1" x="3723"/>
        <item m="1" x="2700"/>
        <item m="1" x="3554"/>
        <item m="1" x="1596"/>
        <item m="1" x="1745"/>
        <item m="1" x="1054"/>
        <item x="556"/>
        <item m="1" x="810"/>
        <item m="1" x="2220"/>
        <item m="1" x="4681"/>
        <item m="1" x="4415"/>
        <item x="405"/>
        <item m="1" x="4424"/>
        <item m="1" x="2228"/>
        <item x="309"/>
        <item m="1" x="3609"/>
        <item m="1" x="3692"/>
        <item x="87"/>
        <item m="1" x="2662"/>
        <item m="1" x="1712"/>
        <item m="1" x="3431"/>
        <item m="1" x="2252"/>
        <item m="1" x="3886"/>
        <item m="1" x="2556"/>
        <item m="1" x="3982"/>
        <item m="1" x="1944"/>
        <item m="1" x="1375"/>
        <item m="1" x="4507"/>
        <item m="1" x="3611"/>
        <item m="1" x="2127"/>
        <item m="1" x="1759"/>
        <item m="1" x="4776"/>
        <item x="552"/>
        <item x="36"/>
        <item x="149"/>
        <item m="1" x="3070"/>
        <item m="1" x="1789"/>
        <item m="1" x="3821"/>
        <item m="1" x="2451"/>
        <item x="315"/>
        <item m="1" x="4107"/>
        <item m="1" x="2674"/>
        <item x="543"/>
        <item x="504"/>
        <item m="1" x="3477"/>
        <item m="1" x="4746"/>
        <item m="1" x="883"/>
        <item m="1" x="975"/>
        <item m="1" x="4885"/>
        <item m="1" x="4423"/>
        <item m="1" x="892"/>
        <item m="1" x="2106"/>
        <item m="1" x="2354"/>
        <item m="1" x="3520"/>
        <item m="1" x="1498"/>
        <item m="1" x="4624"/>
        <item m="1" x="2509"/>
        <item m="1" x="3541"/>
        <item m="1" x="807"/>
        <item m="1" x="2547"/>
        <item m="1" x="2302"/>
        <item m="1" x="4297"/>
        <item m="1" x="1887"/>
        <item m="1" x="798"/>
        <item m="1" x="906"/>
        <item m="1" x="1544"/>
        <item m="1" x="2808"/>
        <item m="1" x="1648"/>
        <item x="581"/>
        <item x="601"/>
        <item m="1" x="1836"/>
        <item x="369"/>
        <item m="1" x="3223"/>
        <item m="1" x="2082"/>
        <item m="1" x="2975"/>
        <item m="1" x="1594"/>
        <item m="1" x="3315"/>
        <item x="262"/>
        <item x="288"/>
        <item m="1" x="2420"/>
        <item m="1" x="3567"/>
        <item m="1" x="3403"/>
        <item m="1" x="1576"/>
        <item m="1" x="2844"/>
        <item m="1" x="4173"/>
        <item m="1" x="1191"/>
        <item m="1" x="2164"/>
        <item m="1" x="4869"/>
        <item m="1" x="1048"/>
        <item m="1" x="1916"/>
        <item m="1" x="3048"/>
        <item m="1" x="4502"/>
        <item m="1" x="3817"/>
        <item m="1" x="4594"/>
        <item m="1" x="2008"/>
        <item m="1" x="2171"/>
        <item m="1" x="4357"/>
        <item m="1" x="1959"/>
        <item m="1" x="3265"/>
        <item m="1" x="862"/>
        <item m="1" x="4892"/>
        <item m="1" x="3045"/>
        <item m="1" x="1839"/>
        <item m="1" x="2210"/>
        <item m="1" x="4449"/>
        <item m="1" x="2925"/>
        <item m="1" x="4451"/>
        <item m="1" x="4986"/>
        <item m="1" x="3951"/>
        <item m="1" x="2168"/>
        <item m="1" x="1603"/>
        <item m="1" x="915"/>
        <item m="1" x="3295"/>
        <item m="1" x="3460"/>
        <item m="1" x="1227"/>
        <item m="1" x="1426"/>
        <item x="44"/>
        <item m="1" x="999"/>
        <item m="1" x="2871"/>
        <item m="1" x="2712"/>
        <item m="1" x="4196"/>
        <item m="1" x="4231"/>
        <item m="1" x="3433"/>
        <item x="37"/>
        <item m="1" x="4016"/>
        <item m="1" x="2385"/>
        <item m="1" x="3583"/>
        <item m="1" x="1301"/>
        <item m="1" x="3287"/>
        <item m="1" x="860"/>
        <item m="1" x="1997"/>
        <item m="1" x="740"/>
        <item m="1" x="4555"/>
        <item m="1" x="4888"/>
        <item m="1" x="2807"/>
        <item m="1" x="2304"/>
        <item m="1" x="4024"/>
        <item m="1" x="697"/>
        <item m="1" x="1454"/>
        <item m="1" x="1344"/>
        <item m="1" x="2895"/>
        <item m="1" x="3538"/>
        <item m="1" x="844"/>
        <item m="1" x="3658"/>
        <item m="1" x="4785"/>
        <item m="1" x="2790"/>
        <item m="1" x="825"/>
        <item m="1" x="851"/>
        <item m="1" x="4766"/>
        <item m="1" x="2563"/>
        <item m="1" x="2665"/>
        <item m="1" x="3458"/>
        <item m="1" x="3435"/>
        <item m="1" x="2070"/>
        <item m="1" x="3257"/>
        <item m="1" x="2624"/>
        <item x="537"/>
        <item x="344"/>
        <item x="147"/>
        <item m="1" x="1856"/>
        <item m="1" x="1779"/>
        <item m="1" x="2818"/>
        <item m="1" x="1248"/>
        <item m="1" x="805"/>
        <item m="1" x="698"/>
        <item m="1" x="3530"/>
        <item m="1" x="4081"/>
        <item m="1" x="3266"/>
        <item m="1" x="1208"/>
        <item x="535"/>
        <item m="1" x="4932"/>
        <item m="1" x="671"/>
        <item m="1" x="1506"/>
        <item m="1" x="3870"/>
        <item m="1" x="4550"/>
        <item m="1" x="765"/>
        <item x="244"/>
        <item m="1" x="1103"/>
        <item m="1" x="3363"/>
        <item m="1" x="2864"/>
        <item m="1" x="4407"/>
        <item m="1" x="4468"/>
        <item m="1" x="3457"/>
        <item m="1" x="4197"/>
        <item m="1" x="4750"/>
        <item m="1" x="3957"/>
        <item m="1" x="3113"/>
        <item m="1" x="2125"/>
        <item m="1" x="4974"/>
        <item m="1" x="4373"/>
        <item m="1" x="4270"/>
        <item m="1" x="4428"/>
        <item x="261"/>
        <item m="1" x="1757"/>
        <item m="1" x="3414"/>
        <item m="1" x="4000"/>
        <item m="1" x="4736"/>
        <item m="1" x="4371"/>
        <item m="1" x="4691"/>
        <item m="1" x="3936"/>
        <item m="1" x="4895"/>
        <item m="1" x="3809"/>
        <item m="1" x="2076"/>
        <item m="1" x="4419"/>
        <item m="1" x="3277"/>
        <item m="1" x="3304"/>
        <item m="1" x="2635"/>
        <item m="1" x="1076"/>
        <item m="1" x="677"/>
        <item m="1" x="2105"/>
        <item m="1" x="3608"/>
        <item m="1" x="2469"/>
        <item m="1" x="795"/>
        <item m="1" x="1151"/>
        <item m="1" x="1385"/>
        <item m="1" x="4077"/>
        <item m="1" x="1377"/>
        <item m="1" x="1190"/>
        <item m="1" x="1618"/>
        <item m="1" x="1481"/>
        <item m="1" x="1430"/>
        <item m="1" x="3909"/>
        <item m="1" x="4614"/>
        <item m="1" x="3394"/>
        <item x="217"/>
        <item x="335"/>
        <item m="1" x="4411"/>
        <item m="1" x="2762"/>
        <item m="1" x="4006"/>
        <item m="1" x="3782"/>
        <item m="1" x="3783"/>
        <item m="1" x="3423"/>
        <item m="1" x="1855"/>
        <item m="1" x="2024"/>
        <item m="1" x="4659"/>
        <item m="1" x="2990"/>
        <item x="270"/>
        <item m="1" x="4799"/>
        <item x="430"/>
        <item m="1" x="4493"/>
        <item m="1" x="607"/>
        <item m="1" x="800"/>
        <item m="1" x="2494"/>
        <item m="1" x="1693"/>
        <item m="1" x="1607"/>
        <item m="1" x="3776"/>
        <item m="1" x="1834"/>
        <item m="1" x="4035"/>
        <item m="1" x="4379"/>
        <item m="1" x="4633"/>
        <item m="1" x="2180"/>
        <item m="1" x="1178"/>
        <item m="1" x="3453"/>
        <item m="1" x="635"/>
        <item m="1" x="3962"/>
        <item m="1" x="1918"/>
        <item m="1" x="4156"/>
        <item m="1" x="1023"/>
        <item m="1" x="3840"/>
        <item m="1" x="1900"/>
        <item m="1" x="4094"/>
        <item m="1" x="3130"/>
        <item m="1" x="4552"/>
        <item m="1" x="3560"/>
        <item m="1" x="3748"/>
        <item x="109"/>
        <item m="1" x="4117"/>
        <item m="1" x="2150"/>
        <item m="1" x="2716"/>
        <item m="1" x="679"/>
        <item m="1" x="1605"/>
        <item m="1" x="4409"/>
        <item m="1" x="4334"/>
        <item m="1" x="2852"/>
        <item m="1" x="3923"/>
        <item m="1" x="2713"/>
        <item m="1" x="2340"/>
        <item m="1" x="4338"/>
        <item m="1" x="832"/>
        <item m="1" x="2564"/>
        <item x="412"/>
        <item m="1" x="1696"/>
        <item m="1" x="4255"/>
        <item m="1" x="3794"/>
        <item m="1" x="4460"/>
        <item m="1" x="768"/>
        <item m="1" x="3143"/>
        <item m="1" x="4720"/>
        <item m="1" x="1860"/>
        <item m="1" x="4713"/>
        <item m="1" x="2253"/>
        <item m="1" x="1325"/>
        <item m="1" x="4022"/>
        <item m="1" x="2359"/>
        <item m="1" x="3331"/>
        <item m="1" x="3256"/>
        <item m="1" x="4934"/>
        <item m="1" x="4514"/>
        <item m="1" x="3283"/>
        <item m="1" x="4112"/>
        <item m="1" x="4427"/>
        <item m="1" x="612"/>
        <item m="1" x="2763"/>
        <item m="1" x="4148"/>
        <item x="263"/>
        <item m="1" x="3216"/>
        <item m="1" x="1289"/>
        <item m="1" x="4127"/>
        <item m="1" x="4588"/>
        <item m="1" x="3943"/>
        <item m="1" x="4656"/>
        <item m="1" x="4965"/>
        <item m="1" x="3136"/>
        <item m="1" x="949"/>
        <item m="1" x="4165"/>
        <item m="1" x="3391"/>
        <item m="1" x="1694"/>
        <item m="1" x="4598"/>
        <item m="1" x="3167"/>
        <item m="1" x="1559"/>
        <item m="1" x="4599"/>
        <item m="1" x="4239"/>
        <item m="1" x="1296"/>
        <item x="354"/>
        <item x="103"/>
        <item m="1" x="4293"/>
        <item m="1" x="4530"/>
        <item m="1" x="3885"/>
        <item m="1" x="4873"/>
        <item m="1" x="4076"/>
        <item m="1" x="833"/>
        <item m="1" x="4795"/>
        <item m="1" x="3763"/>
        <item x="43"/>
        <item m="1" x="2598"/>
        <item m="1" x="1932"/>
        <item m="1" x="4289"/>
        <item m="1" x="2456"/>
        <item m="1" x="2065"/>
        <item m="1" x="3426"/>
        <item m="1" x="3610"/>
        <item m="1" x="2370"/>
        <item m="1" x="2149"/>
        <item m="1" x="4072"/>
        <item m="1" x="2214"/>
        <item m="1" x="1667"/>
        <item m="1" x="4200"/>
        <item m="1" x="3092"/>
        <item m="1" x="3088"/>
        <item m="1" x="2939"/>
        <item m="1" x="1933"/>
        <item m="1" x="1493"/>
        <item m="1" x="1706"/>
        <item m="1" x="4331"/>
        <item m="1" x="3402"/>
        <item m="1" x="2266"/>
        <item m="1" x="4296"/>
        <item m="1" x="2777"/>
        <item m="1" x="1393"/>
        <item m="1" x="4192"/>
        <item m="1" x="3715"/>
        <item x="308"/>
        <item m="1" x="3639"/>
        <item m="1" x="1963"/>
        <item m="1" x="3812"/>
        <item m="1" x="4414"/>
        <item m="1" x="1723"/>
        <item m="1" x="3139"/>
        <item m="1" x="2238"/>
        <item m="1" x="4683"/>
        <item m="1" x="4627"/>
        <item m="1" x="3571"/>
        <item m="1" x="2040"/>
        <item m="1" x="2072"/>
        <item m="1" x="1194"/>
        <item m="1" x="2959"/>
        <item m="1" x="4216"/>
        <item m="1" x="4966"/>
        <item m="1" x="3966"/>
        <item m="1" x="3901"/>
        <item m="1" x="2236"/>
        <item m="1" x="2281"/>
        <item m="1" x="3615"/>
        <item m="1" x="3497"/>
        <item m="1" x="3405"/>
        <item m="1" x="3060"/>
        <item m="1" x="2412"/>
        <item m="1" x="2963"/>
        <item m="1" x="4026"/>
        <item m="1" x="3359"/>
        <item m="1" x="1147"/>
        <item m="1" x="2561"/>
        <item x="586"/>
        <item m="1" x="4275"/>
        <item m="1" x="1471"/>
        <item m="1" x="1487"/>
        <item x="592"/>
        <item m="1" x="1303"/>
        <item m="1" x="3550"/>
        <item m="1" x="2313"/>
        <item m="1" x="1472"/>
        <item m="1" x="1673"/>
        <item m="1" x="1209"/>
        <item m="1" x="2579"/>
        <item m="1" x="1327"/>
        <item m="1" x="2331"/>
        <item m="1" x="1308"/>
        <item m="1" x="4964"/>
        <item m="1" x="4290"/>
        <item m="1" x="4767"/>
        <item m="1" x="744"/>
        <item m="1" x="2675"/>
        <item m="1" x="4444"/>
        <item m="1" x="2284"/>
        <item m="1" x="4926"/>
        <item m="1" x="3238"/>
        <item m="1" x="1063"/>
        <item m="1" x="4927"/>
        <item x="165"/>
        <item m="1" x="4218"/>
        <item m="1" x="4219"/>
        <item m="1" x="3983"/>
        <item m="1" x="4744"/>
        <item m="1" x="2667"/>
        <item m="1" x="1849"/>
        <item m="1" x="1003"/>
        <item x="503"/>
        <item m="1" x="791"/>
        <item m="1" x="4822"/>
        <item m="1" x="2435"/>
        <item m="1" x="2820"/>
        <item m="1" x="4628"/>
        <item m="1" x="4466"/>
        <item m="1" x="4394"/>
        <item m="1" x="4122"/>
        <item m="1" x="4677"/>
        <item m="1" x="4513"/>
        <item m="1" x="1841"/>
        <item m="1" x="4352"/>
        <item m="1" x="4675"/>
        <item m="1" x="750"/>
        <item m="1" x="1734"/>
        <item m="1" x="2717"/>
        <item m="1" x="779"/>
        <item m="1" x="857"/>
        <item m="1" x="1642"/>
        <item m="1" x="2526"/>
        <item m="1" x="3351"/>
        <item m="1" x="1391"/>
        <item m="1" x="3991"/>
        <item m="1" x="4836"/>
        <item m="1" x="4430"/>
        <item m="1" x="3546"/>
        <item m="1" x="2527"/>
        <item m="1" x="907"/>
        <item x="541"/>
        <item m="1" x="2361"/>
        <item m="1" x="2866"/>
        <item m="1" x="743"/>
        <item m="1" x="1814"/>
        <item m="1" x="4009"/>
        <item m="1" x="3691"/>
        <item m="1" x="1220"/>
        <item m="1" x="4854"/>
        <item m="1" x="3905"/>
        <item m="1" x="4789"/>
        <item m="1" x="3221"/>
        <item m="1" x="2870"/>
        <item m="1" x="3360"/>
        <item m="1" x="1778"/>
        <item m="1" x="2995"/>
        <item m="1" x="4057"/>
        <item x="432"/>
        <item m="1" x="1600"/>
        <item m="1" x="4136"/>
        <item m="1" x="1404"/>
        <item x="92"/>
        <item m="1" x="4489"/>
        <item m="1" x="2530"/>
        <item m="1" x="1653"/>
        <item m="1" x="638"/>
        <item m="1" x="3479"/>
        <item m="1" x="2637"/>
        <item m="1" x="823"/>
        <item x="455"/>
        <item m="1" x="2941"/>
        <item m="1" x="1259"/>
        <item m="1" x="1090"/>
        <item m="1" x="4580"/>
        <item m="1" x="4859"/>
        <item m="1" x="824"/>
        <item m="1" x="1615"/>
        <item m="1" x="3944"/>
        <item x="19"/>
        <item x="161"/>
        <item m="1" x="4543"/>
        <item m="1" x="3188"/>
        <item m="1" x="3662"/>
        <item m="1" x="1602"/>
        <item x="578"/>
        <item x="134"/>
        <item m="1" x="745"/>
        <item x="419"/>
        <item m="1" x="2755"/>
        <item m="1" x="1832"/>
        <item m="1" x="2751"/>
        <item m="1" x="4639"/>
        <item m="1" x="1978"/>
        <item m="1" x="1724"/>
        <item m="1" x="3914"/>
        <item x="524"/>
        <item m="1" x="3132"/>
        <item x="160"/>
        <item m="1" x="1842"/>
        <item m="1" x="3500"/>
        <item x="326"/>
        <item m="1" x="837"/>
        <item x="186"/>
        <item m="1" x="3907"/>
        <item m="1" x="1464"/>
        <item m="1" x="3001"/>
        <item m="1" x="1819"/>
        <item m="1" x="926"/>
        <item x="253"/>
        <item m="1" x="2489"/>
        <item m="1" x="1326"/>
        <item m="1" x="4410"/>
        <item m="1" x="4247"/>
        <item m="1" x="3696"/>
        <item m="1" x="709"/>
        <item x="478"/>
        <item x="530"/>
        <item m="1" x="2964"/>
        <item m="1" x="3836"/>
        <item m="1" x="1353"/>
        <item m="1" x="3824"/>
        <item m="1" x="3624"/>
        <item m="1" x="3561"/>
        <item m="1" x="2948"/>
        <item x="276"/>
        <item m="1" x="4741"/>
        <item x="196"/>
        <item m="1" x="3933"/>
        <item m="1" x="2257"/>
        <item m="1" x="2999"/>
        <item m="1" x="3635"/>
        <item x="3"/>
        <item m="1" x="1555"/>
        <item x="388"/>
        <item m="1" x="2495"/>
        <item m="1" x="3082"/>
        <item m="1" x="3101"/>
        <item m="1" x="2605"/>
        <item m="1" x="3898"/>
        <item m="1" x="3986"/>
        <item m="1" x="4191"/>
        <item m="1" x="2181"/>
        <item m="1" x="4629"/>
        <item m="1" x="1552"/>
        <item m="1" x="2239"/>
        <item m="1" x="3181"/>
        <item m="1" x="4922"/>
        <item m="1" x="1173"/>
        <item m="1" x="3579"/>
        <item m="1" x="4532"/>
        <item m="1" x="4287"/>
        <item m="1" x="3466"/>
        <item m="1" x="4111"/>
        <item m="1" x="1939"/>
        <item m="1" x="3922"/>
        <item m="1" x="1438"/>
        <item x="407"/>
        <item m="1" x="4045"/>
        <item m="1" x="704"/>
        <item m="1" x="1154"/>
        <item x="544"/>
        <item m="1" x="3154"/>
        <item m="1" x="1024"/>
        <item m="1" x="1531"/>
        <item m="1" x="1280"/>
        <item m="1" x="3888"/>
        <item m="1" x="1980"/>
        <item m="1" x="4225"/>
        <item m="1" x="4031"/>
        <item m="1" x="1169"/>
        <item m="1" x="4708"/>
        <item x="500"/>
        <item m="1" x="1727"/>
        <item x="101"/>
        <item x="16"/>
        <item m="1" x="2874"/>
        <item m="1" x="2259"/>
        <item m="1" x="1101"/>
        <item m="1" x="1381"/>
        <item m="1" x="2529"/>
        <item x="213"/>
        <item m="1" x="2352"/>
        <item m="1" x="2126"/>
        <item m="1" x="2892"/>
        <item m="1" x="2324"/>
        <item m="1" x="822"/>
        <item m="1" x="1135"/>
        <item m="1" x="3140"/>
        <item x="557"/>
        <item m="1" x="4020"/>
        <item m="1" x="3378"/>
        <item m="1" x="1145"/>
        <item m="1" x="1988"/>
        <item m="1" x="1219"/>
        <item m="1" x="3486"/>
        <item x="334"/>
        <item m="1" x="2742"/>
        <item m="1" x="1022"/>
        <item x="531"/>
        <item m="1" x="4082"/>
        <item m="1" x="3467"/>
        <item m="1" x="3095"/>
        <item m="1" x="1807"/>
        <item m="1" x="3932"/>
        <item m="1" x="1558"/>
        <item m="1" x="3217"/>
        <item m="1" x="4336"/>
        <item m="1" x="1913"/>
        <item m="1" x="1206"/>
        <item m="1" x="3372"/>
        <item x="33"/>
        <item m="1" x="3756"/>
        <item m="1" x="3310"/>
        <item m="1" x="2997"/>
        <item m="1" x="4837"/>
        <item m="1" x="2525"/>
        <item x="519"/>
        <item m="1" x="4604"/>
        <item m="1" x="2232"/>
        <item m="1" x="1111"/>
        <item m="1" x="4871"/>
        <item m="1" x="4590"/>
        <item m="1" x="4727"/>
        <item m="1" x="4401"/>
        <item m="1" x="4199"/>
        <item m="1" x="3853"/>
        <item m="1" x="4342"/>
        <item m="1" x="1949"/>
        <item m="1" x="1682"/>
        <item m="1" x="1456"/>
        <item m="1" x="3778"/>
        <item m="1" x="3200"/>
        <item m="1" x="3120"/>
        <item m="1" x="903"/>
        <item m="1" x="1302"/>
        <item m="1" x="3501"/>
        <item x="117"/>
        <item x="85"/>
        <item x="508"/>
        <item m="1" x="2956"/>
        <item m="1" x="2932"/>
        <item m="1" x="1162"/>
        <item m="1" x="2131"/>
        <item m="1" x="3410"/>
        <item m="1" x="3713"/>
        <item m="1" x="3758"/>
        <item m="1" x="1157"/>
        <item m="1" x="2227"/>
        <item m="1" x="2857"/>
        <item m="1" x="1097"/>
        <item m="1" x="4134"/>
        <item m="1" x="3413"/>
        <item m="1" x="1838"/>
        <item m="1" x="2335"/>
        <item m="1" x="3573"/>
        <item x="139"/>
        <item m="1" x="1522"/>
        <item m="1" x="2124"/>
        <item m="1" x="3099"/>
        <item m="1" x="2298"/>
        <item m="1" x="2279"/>
        <item m="1" x="4684"/>
        <item m="1" x="4387"/>
        <item m="1" x="1890"/>
        <item x="28"/>
        <item m="1" x="3061"/>
        <item m="1" x="4589"/>
        <item m="1" x="4458"/>
        <item m="1" x="2821"/>
        <item m="1" x="920"/>
        <item m="1" x="2049"/>
        <item x="297"/>
        <item x="364"/>
        <item m="1" x="1394"/>
        <item m="1" x="858"/>
        <item m="1" x="3912"/>
        <item m="1" x="4128"/>
        <item m="1" x="2433"/>
        <item x="358"/>
        <item x="368"/>
        <item m="1" x="4951"/>
        <item m="1" x="3037"/>
        <item m="1" x="3274"/>
        <item m="1" x="2086"/>
        <item m="1" x="3637"/>
        <item m="1" x="1668"/>
        <item m="1" x="1329"/>
        <item x="281"/>
        <item x="337"/>
        <item m="1" x="2085"/>
        <item m="1" x="649"/>
        <item m="1" x="1319"/>
        <item m="1" x="1914"/>
        <item m="1" x="1551"/>
        <item m="1" x="1525"/>
        <item m="1" x="2258"/>
        <item m="1" x="3262"/>
        <item m="1" x="3197"/>
        <item x="521"/>
        <item m="1" x="3679"/>
        <item m="1" x="4053"/>
        <item x="282"/>
        <item m="1" x="1583"/>
        <item m="1" x="4961"/>
        <item m="1" x="4120"/>
        <item m="1" x="3900"/>
        <item m="1" x="3856"/>
        <item m="1" x="1351"/>
        <item m="1" x="4816"/>
        <item m="1" x="2280"/>
        <item m="1" x="2622"/>
        <item m="1" x="4889"/>
        <item m="1" x="3349"/>
        <item m="1" x="3744"/>
        <item m="1" x="2688"/>
        <item m="1" x="4069"/>
        <item x="462"/>
        <item m="1" x="2036"/>
        <item m="1" x="3025"/>
        <item m="1" x="1422"/>
        <item m="1" x="1075"/>
        <item m="1" x="1950"/>
        <item m="1" x="2466"/>
        <item m="1" x="2704"/>
        <item m="1" x="2037"/>
        <item m="1" x="874"/>
        <item m="1" x="872"/>
        <item m="1" x="4003"/>
        <item m="1" x="2938"/>
        <item m="1" x="1687"/>
        <item m="1" x="2819"/>
        <item m="1" x="1592"/>
        <item m="1" x="2201"/>
        <item m="1" x="4455"/>
        <item m="1" x="1688"/>
        <item m="1" x="1293"/>
        <item m="1" x="3259"/>
        <item m="1" x="2699"/>
        <item m="1" x="4402"/>
        <item m="1" x="2534"/>
        <item m="1" x="2632"/>
        <item m="1" x="4282"/>
        <item m="1" x="1359"/>
        <item m="1" x="1409"/>
        <item m="1" x="1207"/>
        <item m="1" x="4101"/>
        <item m="1" x="3087"/>
        <item m="1" x="2767"/>
        <item m="1" x="2028"/>
        <item m="1" x="1516"/>
        <item x="252"/>
        <item m="1" x="4370"/>
        <item m="1" x="2497"/>
        <item m="1" x="1226"/>
        <item m="1" x="2155"/>
        <item m="1" x="2731"/>
        <item m="1" x="1217"/>
        <item x="204"/>
        <item m="1" x="2789"/>
        <item m="1" x="4060"/>
        <item m="1" x="3384"/>
        <item x="515"/>
        <item m="1" x="2900"/>
        <item m="1" x="686"/>
        <item m="1" x="3398"/>
        <item m="1" x="3890"/>
        <item m="1" x="2631"/>
        <item m="1" x="4587"/>
        <item m="1" x="1953"/>
        <item m="1" x="4856"/>
        <item x="450"/>
        <item m="1" x="3098"/>
        <item m="1" x="3585"/>
        <item x="437"/>
        <item m="1" x="4703"/>
        <item m="1" x="4668"/>
        <item m="1" x="887"/>
        <item m="1" x="2222"/>
        <item x="48"/>
        <item m="1" x="4893"/>
        <item m="1" x="2581"/>
        <item m="1" x="1459"/>
        <item m="1" x="4145"/>
        <item m="1" x="2286"/>
        <item m="1" x="3042"/>
        <item m="1" x="736"/>
        <item m="1" x="4230"/>
        <item m="1" x="2216"/>
        <item m="1" x="1125"/>
        <item m="1" x="3248"/>
        <item m="1" x="2337"/>
        <item m="1" x="3127"/>
        <item m="1" x="1407"/>
        <item m="1" x="3050"/>
        <item m="1" x="2851"/>
        <item m="1" x="4360"/>
        <item m="1" x="3631"/>
        <item m="1" x="4706"/>
        <item m="1" x="2288"/>
        <item m="1" x="2441"/>
        <item m="1" x="2319"/>
        <item x="241"/>
        <item x="126"/>
        <item m="1" x="4456"/>
        <item m="1" x="4649"/>
        <item m="1" x="4011"/>
        <item m="1" x="701"/>
        <item m="1" x="4647"/>
        <item m="1" x="2448"/>
        <item x="289"/>
        <item x="218"/>
        <item m="1" x="3850"/>
        <item m="1" x="1581"/>
        <item m="1" x="3344"/>
        <item m="1" x="615"/>
        <item m="1" x="3301"/>
        <item m="1" x="1922"/>
        <item m="1" x="4823"/>
        <item m="1" x="2048"/>
        <item m="1" x="842"/>
        <item m="1" x="2859"/>
        <item m="1" x="3574"/>
        <item m="1" x="3859"/>
        <item m="1" x="904"/>
        <item m="1" x="2372"/>
        <item m="1" x="1630"/>
        <item m="1" x="2393"/>
        <item m="1" x="2733"/>
        <item m="1" x="3524"/>
        <item m="1" x="1044"/>
        <item m="1" x="2030"/>
        <item m="1" x="1629"/>
        <item m="1" x="4073"/>
        <item m="1" x="4711"/>
        <item m="1" x="4229"/>
        <item m="1" x="2515"/>
        <item m="1" x="4891"/>
        <item m="1" x="2554"/>
        <item m="1" x="3036"/>
        <item m="1" x="3245"/>
        <item m="1" x="1466"/>
        <item m="1" x="4474"/>
        <item x="447"/>
        <item x="201"/>
        <item m="1" x="4263"/>
        <item m="1" x="4157"/>
        <item m="1" x="4151"/>
        <item m="1" x="2066"/>
        <item m="1" x="3131"/>
        <item m="1" x="3021"/>
        <item m="1" x="2490"/>
        <item x="221"/>
        <item m="1" x="2966"/>
        <item m="1" x="4940"/>
        <item m="1" x="4364"/>
        <item m="1" x="3451"/>
        <item m="1" x="2377"/>
        <item m="1" x="2034"/>
        <item m="1" x="1457"/>
        <item m="1" x="2262"/>
        <item m="1" x="4278"/>
        <item m="1" x="4768"/>
        <item m="1" x="2684"/>
        <item m="1" x="3997"/>
        <item m="1" x="1828"/>
        <item m="1" x="3321"/>
        <item m="1" x="4051"/>
        <item m="1" x="720"/>
        <item m="1" x="2707"/>
        <item m="1" x="2316"/>
        <item m="1" x="1012"/>
        <item m="1" x="2872"/>
        <item m="1" x="1697"/>
        <item x="258"/>
        <item m="1" x="2172"/>
        <item m="1" x="948"/>
        <item m="1" x="3107"/>
        <item m="1" x="2806"/>
        <item m="1" x="4939"/>
        <item x="346"/>
        <item m="1" x="611"/>
        <item m="1" x="4762"/>
        <item m="1" x="2737"/>
        <item m="1" x="1324"/>
        <item m="1" x="3439"/>
        <item x="397"/>
        <item m="1" x="4753"/>
        <item m="1" x="2842"/>
        <item m="1" x="3730"/>
        <item m="1" x="1016"/>
        <item m="1" x="3508"/>
        <item m="1" x="3094"/>
        <item x="330"/>
        <item m="1" x="2421"/>
        <item m="1" x="1909"/>
        <item m="1" x="1255"/>
        <item m="1" x="4665"/>
        <item m="1" x="2271"/>
        <item m="1" x="3940"/>
        <item m="1" x="2706"/>
        <item m="1" x="621"/>
        <item m="1" x="2972"/>
        <item m="1" x="2614"/>
        <item m="1" x="4452"/>
        <item m="1" x="3537"/>
        <item x="214"/>
        <item m="1" x="2760"/>
        <item m="1" x="4416"/>
        <item m="1" x="3149"/>
        <item m="1" x="4825"/>
        <item m="1" x="3770"/>
        <item x="172"/>
        <item m="1" x="4742"/>
        <item m="1" x="4952"/>
        <item m="1" x="2720"/>
        <item m="1" x="4695"/>
        <item m="1" x="4308"/>
        <item m="1" x="1245"/>
        <item m="1" x="1998"/>
        <item m="1" x="4305"/>
        <item m="1" x="2824"/>
        <item m="1" x="4404"/>
        <item x="454"/>
        <item m="1" x="4954"/>
        <item m="1" x="4606"/>
        <item m="1" x="4375"/>
        <item m="1" x="1639"/>
        <item m="1" x="4569"/>
        <item m="1" x="3399"/>
        <item m="1" x="4834"/>
        <item m="1" x="3663"/>
        <item m="1" x="3436"/>
        <item m="1" x="4393"/>
        <item m="1" x="1395"/>
        <item x="197"/>
        <item m="1" x="4660"/>
        <item m="1" x="947"/>
        <item m="1" x="4309"/>
        <item m="1" x="3064"/>
        <item m="1" x="1517"/>
        <item m="1" x="3652"/>
        <item m="1" x="1533"/>
        <item m="1" x="1549"/>
        <item m="1" x="1811"/>
        <item m="1" x="3868"/>
        <item m="1" x="1282"/>
        <item m="1" x="3317"/>
        <item m="1" x="4632"/>
        <item m="1" x="4967"/>
        <item m="1" x="2212"/>
        <item m="1" x="3738"/>
        <item m="1" x="3881"/>
        <item m="1" x="4749"/>
        <item m="1" x="3766"/>
        <item m="1" x="4616"/>
        <item m="1" x="2269"/>
        <item m="1" x="2649"/>
        <item m="1" x="4861"/>
        <item m="1" x="3345"/>
        <item x="14"/>
        <item m="1" x="4140"/>
        <item m="1" x="734"/>
        <item m="1" x="4181"/>
        <item m="1" x="3033"/>
        <item m="1" x="1863"/>
        <item x="183"/>
        <item m="1" x="4325"/>
        <item m="1" x="4434"/>
        <item m="1" x="1582"/>
        <item m="1" x="1059"/>
        <item m="1" x="2519"/>
        <item m="1" x="4523"/>
        <item m="1" x="2590"/>
        <item x="242"/>
        <item m="1" x="895"/>
        <item m="1" x="4350"/>
        <item m="1" x="1540"/>
        <item m="1" x="1903"/>
        <item x="362"/>
        <item m="1" x="4150"/>
        <item m="1" x="1731"/>
        <item m="1" x="1526"/>
        <item m="1" x="1468"/>
        <item m="1" x="3386"/>
        <item m="1" x="666"/>
        <item m="1" x="1885"/>
        <item m="1" x="2363"/>
        <item m="1" x="1574"/>
        <item m="1" x="1993"/>
        <item x="50"/>
        <item x="140"/>
        <item m="1" x="3464"/>
        <item m="1" x="1801"/>
        <item x="540"/>
        <item m="1" x="654"/>
        <item m="1" x="794"/>
        <item m="1" x="3786"/>
        <item m="1" x="929"/>
        <item m="1" x="622"/>
        <item m="1" x="4985"/>
        <item m="1" x="1825"/>
        <item m="1" x="4299"/>
        <item m="1" x="1198"/>
        <item m="1" x="2709"/>
        <item m="1" x="1897"/>
        <item m="1" x="2710"/>
        <item m="1" x="1674"/>
        <item m="1" x="2817"/>
        <item m="1" x="1265"/>
        <item m="1" x="1711"/>
        <item m="1" x="956"/>
        <item m="1" x="3427"/>
        <item m="1" x="1253"/>
        <item m="1" x="3142"/>
        <item m="1" x="1772"/>
        <item m="1" x="2613"/>
        <item m="1" x="1756"/>
        <item m="1" x="4646"/>
        <item m="1" x="4721"/>
        <item m="1" x="2404"/>
        <item m="1" x="2660"/>
        <item m="1" x="4786"/>
        <item m="1" x="3654"/>
        <item m="1" x="1790"/>
        <item x="46"/>
        <item m="1" x="4845"/>
        <item m="1" x="3760"/>
        <item m="1" x="4366"/>
        <item m="1" x="4906"/>
        <item m="1" x="4716"/>
        <item m="1" x="2620"/>
        <item m="1" x="3421"/>
        <item m="1" x="4554"/>
        <item m="1" x="2188"/>
        <item m="1" x="3309"/>
        <item m="1" x="3419"/>
        <item m="1" x="2695"/>
        <item m="1" x="2491"/>
        <item m="1" x="4244"/>
        <item x="399"/>
        <item x="489"/>
        <item m="1" x="3531"/>
        <item m="1" x="2195"/>
        <item m="1" x="1774"/>
        <item m="1" x="3653"/>
        <item m="1" x="2721"/>
        <item m="1" x="4099"/>
        <item m="1" x="1975"/>
        <item x="404"/>
        <item m="1" x="4383"/>
        <item m="1" x="1087"/>
        <item m="1" x="3342"/>
        <item m="1" x="774"/>
        <item m="1" x="4185"/>
        <item m="1" x="4396"/>
        <item x="545"/>
        <item m="1" x="4621"/>
        <item m="1" x="4793"/>
        <item m="1" x="1703"/>
        <item x="313"/>
        <item m="1" x="1896"/>
        <item m="1" x="1130"/>
        <item x="572"/>
        <item m="1" x="4737"/>
        <item m="1" x="653"/>
        <item m="1" x="4233"/>
        <item m="1" x="1037"/>
        <item m="1" x="2446"/>
        <item x="527"/>
        <item m="1" x="4413"/>
        <item m="1" x="2109"/>
        <item m="1" x="1033"/>
        <item m="1" x="4842"/>
        <item m="1" x="647"/>
        <item m="1" x="2221"/>
        <item m="1" x="2927"/>
        <item m="1" x="1428"/>
        <item m="1" x="4881"/>
        <item m="1" x="1787"/>
        <item m="1" x="2107"/>
        <item m="1" x="1314"/>
        <item x="9"/>
        <item m="1" x="2416"/>
        <item m="1" x="2994"/>
        <item m="1" x="3925"/>
        <item m="1" x="994"/>
        <item m="1" x="3547"/>
        <item x="211"/>
        <item m="1" x="924"/>
        <item m="1" x="3489"/>
        <item m="1" x="3121"/>
        <item m="1" x="4110"/>
        <item m="1" x="2739"/>
        <item m="1" x="2784"/>
        <item m="1" x="3984"/>
        <item m="1" x="2551"/>
        <item m="1" x="4643"/>
        <item m="1" x="4717"/>
        <item m="1" x="2018"/>
        <item m="1" x="3722"/>
        <item m="1" x="1571"/>
        <item m="1" x="1176"/>
        <item m="1" x="2083"/>
        <item m="1" x="1938"/>
        <item m="1" x="2260"/>
        <item m="1" x="1373"/>
        <item m="1" x="3745"/>
        <item m="1" x="2659"/>
        <item m="1" x="2294"/>
        <item m="1" x="3998"/>
        <item m="1" x="4613"/>
        <item x="158"/>
        <item x="10"/>
        <item m="1" x="3134"/>
        <item x="12"/>
        <item m="1" x="2134"/>
        <item m="1" x="2539"/>
        <item m="1" x="1121"/>
        <item m="1" x="2440"/>
        <item x="596"/>
        <item m="1" x="2666"/>
        <item m="1" x="656"/>
        <item m="1" x="2983"/>
        <item m="1" x="2289"/>
        <item m="1" x="3916"/>
        <item m="1" x="4575"/>
        <item m="1" x="2044"/>
        <item m="1" x="4211"/>
        <item m="1" x="3179"/>
        <item m="1" x="2992"/>
        <item m="1" x="1221"/>
        <item m="1" x="1680"/>
        <item m="1" x="3575"/>
        <item m="1" x="3563"/>
        <item m="1" x="4944"/>
        <item m="1" x="2593"/>
        <item m="1" x="788"/>
        <item x="159"/>
        <item x="225"/>
        <item m="1" x="3534"/>
        <item m="1" x="3114"/>
        <item x="223"/>
        <item m="1" x="880"/>
        <item m="1" x="715"/>
        <item m="1" x="4222"/>
        <item m="1" x="1211"/>
        <item m="1" x="1350"/>
        <item m="1" x="815"/>
        <item m="1" x="863"/>
        <item m="1" x="2272"/>
        <item m="1" x="2418"/>
        <item m="1" x="2250"/>
        <item m="1" x="3788"/>
        <item m="1" x="2424"/>
        <item m="1" x="2501"/>
        <item m="1" x="4205"/>
        <item m="1" x="1732"/>
        <item m="1" x="2636"/>
        <item m="1" x="2371"/>
        <item m="1" x="3463"/>
        <item m="1" x="4361"/>
        <item x="110"/>
        <item m="1" x="2204"/>
        <item m="1" x="665"/>
        <item m="1" x="1848"/>
        <item x="123"/>
        <item m="1" x="962"/>
        <item m="1" x="3377"/>
        <item m="1" x="2287"/>
        <item m="1" x="2621"/>
        <item m="1" x="3805"/>
        <item m="1" x="3837"/>
        <item m="1" x="2362"/>
        <item x="57"/>
        <item m="1" x="4570"/>
        <item m="1" x="4221"/>
        <item m="1" x="2096"/>
        <item m="1" x="1719"/>
        <item m="1" x="4908"/>
        <item m="1" x="3080"/>
        <item m="1" x="2571"/>
        <item m="1" x="3175"/>
        <item m="1" x="4846"/>
        <item m="1" x="2848"/>
        <item m="1" x="3621"/>
        <item m="1" x="1421"/>
        <item m="1" x="1880"/>
        <item m="1" x="1643"/>
        <item x="319"/>
        <item m="1" x="2233"/>
        <item m="1" x="1556"/>
        <item m="1" x="4141"/>
        <item m="1" x="3263"/>
        <item m="1" x="2183"/>
        <item m="1" x="3568"/>
        <item m="1" x="3960"/>
        <item m="1" x="3688"/>
        <item m="1" x="3240"/>
        <item m="1" x="1446"/>
        <item m="1" x="722"/>
        <item m="1" x="3887"/>
        <item m="1" x="1626"/>
        <item m="1" x="3239"/>
        <item m="1" x="2020"/>
        <item m="1" x="3751"/>
        <item m="1" x="4652"/>
        <item m="1" x="3503"/>
        <item m="1" x="2017"/>
        <item m="1" x="1830"/>
        <item m="1" x="2521"/>
        <item m="1" x="2484"/>
        <item m="1" x="662"/>
        <item m="1" x="1444"/>
        <item m="1" x="4540"/>
        <item m="1" x="1658"/>
        <item m="1" x="900"/>
        <item m="1" x="3625"/>
        <item m="1" x="4295"/>
        <item m="1" x="2091"/>
        <item m="1" x="4730"/>
        <item m="1" x="1826"/>
        <item x="185"/>
        <item m="1" x="3643"/>
        <item m="1" x="1406"/>
        <item m="1" x="1960"/>
        <item x="538"/>
        <item m="1" x="3918"/>
        <item m="1" x="2890"/>
        <item m="1" x="1281"/>
        <item m="1" x="3096"/>
        <item m="1" x="1666"/>
        <item m="1" x="4596"/>
        <item m="1" x="2991"/>
        <item m="1" x="1995"/>
        <item x="135"/>
        <item x="102"/>
        <item m="1" x="4323"/>
        <item m="1" x="3407"/>
        <item m="1" x="4806"/>
        <item m="1" x="3793"/>
        <item m="1" x="4236"/>
        <item m="1" x="2378"/>
        <item m="1" x="1429"/>
        <item m="1" x="1876"/>
        <item m="1" x="3605"/>
        <item m="1" x="3118"/>
        <item m="1" x="2470"/>
        <item m="1" x="2121"/>
        <item m="1" x="4125"/>
        <item m="1" x="1567"/>
        <item m="1" x="4901"/>
        <item m="1" x="4567"/>
        <item x="449"/>
        <item x="266"/>
        <item x="38"/>
        <item m="1" x="4921"/>
        <item m="1" x="2009"/>
        <item m="1" x="2578"/>
        <item m="1" x="3645"/>
        <item m="1" x="3038"/>
        <item m="1" x="1401"/>
        <item m="1" x="2462"/>
        <item m="1" x="4783"/>
        <item x="250"/>
        <item m="1" x="2618"/>
        <item m="1" x="4669"/>
        <item m="1" x="4417"/>
        <item m="1" x="2863"/>
        <item m="1" x="879"/>
        <item m="1" x="4479"/>
        <item x="122"/>
        <item m="1" x="4819"/>
        <item m="1" x="2166"/>
        <item m="1" x="2478"/>
        <item m="1" x="1701"/>
        <item m="1" x="831"/>
        <item m="1" x="4500"/>
        <item m="1" x="1011"/>
        <item x="425"/>
        <item m="1" x="690"/>
        <item x="264"/>
        <item x="124"/>
        <item m="1" x="2608"/>
        <item m="1" x="3826"/>
        <item m="1" x="2929"/>
        <item x="402"/>
        <item x="76"/>
        <item m="1" x="4916"/>
        <item x="255"/>
        <item m="1" x="3970"/>
        <item x="59"/>
        <item x="97"/>
        <item m="1" x="2768"/>
        <item m="1" x="1161"/>
        <item m="1" x="3370"/>
        <item m="1" x="2985"/>
        <item m="1" x="3141"/>
        <item x="496"/>
        <item m="1" x="2357"/>
        <item x="175"/>
        <item m="1" x="2549"/>
        <item m="1" x="1267"/>
        <item m="1" x="1679"/>
        <item m="1" x="2041"/>
        <item m="1" x="630"/>
        <item x="532"/>
        <item m="1" x="3929"/>
        <item m="1" x="1291"/>
        <item m="1" x="3393"/>
        <item m="1" x="3799"/>
        <item m="1" x="1257"/>
        <item m="1" x="3860"/>
        <item m="1" x="3670"/>
        <item m="1" x="2339"/>
        <item m="1" x="2460"/>
        <item m="1" x="2595"/>
        <item x="25"/>
        <item m="1" x="1193"/>
        <item x="452"/>
        <item m="1" x="1080"/>
        <item x="72"/>
        <item m="1" x="1005"/>
        <item m="1" x="1026"/>
        <item x="549"/>
        <item m="1" x="4529"/>
        <item m="1" x="3833"/>
        <item m="1" x="3157"/>
        <item m="1" x="2453"/>
        <item m="1" x="1452"/>
        <item m="1" x="3818"/>
        <item m="1" x="2761"/>
        <item x="202"/>
        <item m="1" x="1829"/>
        <item m="1" x="3364"/>
        <item m="1" x="4930"/>
        <item m="1" x="3387"/>
        <item m="1" x="2572"/>
        <item m="1" x="889"/>
        <item x="363"/>
        <item m="1" x="1562"/>
        <item x="4"/>
        <item m="1" x="2000"/>
        <item m="1" x="3493"/>
        <item m="1" x="3138"/>
        <item m="1" x="4637"/>
        <item m="1" x="1760"/>
        <item m="1" x="2705"/>
        <item m="1" x="1410"/>
        <item m="1" x="2366"/>
        <item m="1" x="4088"/>
        <item m="1" x="4374"/>
        <item m="1" x="1915"/>
        <item x="47"/>
        <item m="1" x="4333"/>
        <item m="1" x="2754"/>
        <item m="1" x="1821"/>
        <item m="1" x="1056"/>
        <item m="1" x="2813"/>
        <item x="564"/>
        <item m="1" x="707"/>
        <item m="1" x="1509"/>
        <item m="1" x="1768"/>
        <item m="1" x="4536"/>
        <item m="1" x="1738"/>
        <item m="1" x="1769"/>
        <item m="1" x="3034"/>
        <item m="1" x="4256"/>
        <item m="1" x="1363"/>
        <item m="1" x="1991"/>
        <item m="1" x="4623"/>
        <item m="1" x="2224"/>
        <item m="1" x="2449"/>
        <item m="1" x="4179"/>
        <item m="1" x="2500"/>
        <item m="1" x="2276"/>
        <item m="1" x="2282"/>
        <item m="1" x="4080"/>
        <item m="1" x="1770"/>
        <item x="409"/>
        <item m="1" x="3708"/>
        <item m="1" x="1405"/>
        <item m="1" x="4441"/>
        <item m="1" x="3195"/>
        <item m="1" x="4258"/>
        <item m="1" x="4740"/>
        <item m="1" x="3499"/>
        <item x="226"/>
        <item m="1" x="2812"/>
        <item x="323"/>
        <item m="1" x="2850"/>
        <item m="1" x="2617"/>
        <item m="1" x="2247"/>
        <item m="1" x="4686"/>
        <item m="1" x="2323"/>
        <item m="1" x="4154"/>
        <item m="1" x="1843"/>
        <item m="1" x="1040"/>
        <item m="1" x="3214"/>
        <item m="1" x="3299"/>
        <item m="1" x="4519"/>
        <item m="1" x="4841"/>
        <item m="1" x="3646"/>
        <item m="1" x="4168"/>
        <item m="1" x="1818"/>
        <item x="51"/>
        <item m="1" x="4508"/>
        <item m="1" x="3834"/>
        <item x="465"/>
        <item m="1" x="1907"/>
        <item x="194"/>
        <item m="1" x="1793"/>
        <item m="1" x="3206"/>
        <item m="1" x="1112"/>
        <item m="1" x="3581"/>
        <item m="1" x="2918"/>
        <item m="1" x="4050"/>
        <item m="1" x="4447"/>
        <item m="1" x="2365"/>
        <item m="1" x="1617"/>
        <item m="1" x="1467"/>
        <item m="1" x="2980"/>
        <item m="1" x="3634"/>
        <item m="1" x="1726"/>
        <item x="302"/>
        <item x="555"/>
        <item m="1" x="2011"/>
        <item x="121"/>
        <item m="1" x="3264"/>
        <item m="1" x="3155"/>
        <item m="1" x="1188"/>
        <item m="1" x="4126"/>
        <item x="338"/>
        <item m="1" x="4314"/>
        <item m="1" x="3956"/>
        <item x="473"/>
        <item x="100"/>
        <item x="380"/>
        <item m="1" x="2931"/>
        <item m="1" x="1413"/>
        <item m="1" x="4573"/>
        <item m="1" x="4066"/>
        <item m="1" x="1175"/>
        <item m="1" x="4464"/>
        <item m="1" x="2403"/>
        <item m="1" x="2255"/>
        <item m="1" x="1298"/>
        <item m="1" x="2119"/>
        <item m="1" x="1610"/>
        <item m="1" x="3698"/>
        <item m="1" x="4644"/>
        <item m="1" x="4935"/>
        <item m="1" x="3180"/>
        <item m="1" x="4321"/>
        <item m="1" x="2800"/>
        <item m="1" x="2174"/>
        <item m="1" x="989"/>
        <item m="1" x="4504"/>
        <item m="1" x="1899"/>
        <item m="1" x="4317"/>
        <item x="260"/>
        <item m="1" x="2023"/>
        <item m="1" x="3075"/>
        <item m="1" x="3210"/>
        <item m="1" x="3158"/>
        <item m="1" x="2425"/>
        <item m="1" x="1187"/>
        <item m="1" x="3502"/>
        <item m="1" x="1425"/>
        <item m="1" x="708"/>
        <item m="1" x="4388"/>
        <item m="1" x="1455"/>
        <item m="1" x="4617"/>
        <item m="1" x="3752"/>
        <item x="476"/>
        <item x="536"/>
        <item m="1" x="2402"/>
        <item m="1" x="4568"/>
        <item m="1" x="3046"/>
        <item m="1" x="3334"/>
        <item x="562"/>
        <item x="23"/>
        <item m="1" x="1654"/>
        <item m="1" x="4772"/>
        <item m="1" x="2407"/>
        <item m="1" x="1747"/>
        <item m="1" x="2158"/>
        <item x="533"/>
        <item x="293"/>
        <item x="170"/>
        <item m="1" x="4487"/>
        <item m="1" x="3796"/>
        <item x="474"/>
        <item m="1" x="3664"/>
        <item m="1" x="4909"/>
        <item m="1" x="4068"/>
        <item m="1" x="2788"/>
        <item m="1" x="3587"/>
        <item m="1" x="899"/>
        <item m="1" x="1504"/>
        <item m="1" x="4381"/>
        <item m="1" x="3056"/>
        <item x="370"/>
        <item x="510"/>
        <item m="1" x="3474"/>
        <item m="1" x="4890"/>
        <item m="1" x="1931"/>
        <item m="1" x="4252"/>
        <item m="1" x="1501"/>
        <item m="1" x="1616"/>
        <item m="1" x="3798"/>
        <item m="1" x="2596"/>
        <item m="1" x="901"/>
        <item m="1" x="1332"/>
        <item m="1" x="3865"/>
        <item m="1" x="4738"/>
        <item m="1" x="3718"/>
        <item m="1" x="2428"/>
        <item m="1" x="2300"/>
        <item x="58"/>
        <item m="1" x="4329"/>
        <item m="1" x="2609"/>
        <item m="1" x="1587"/>
        <item m="1" x="4946"/>
        <item m="1" x="2701"/>
        <item m="1" x="1990"/>
        <item m="1" x="3129"/>
        <item m="1" x="2771"/>
        <item m="1" x="2917"/>
        <item m="1" x="2414"/>
        <item m="1" x="2376"/>
        <item x="417"/>
        <item m="1" x="2582"/>
        <item m="1" x="2243"/>
        <item m="1" x="3311"/>
        <item m="1" x="1448"/>
        <item m="1" x="2012"/>
        <item m="1" x="3272"/>
        <item m="1" x="1002"/>
        <item x="513"/>
        <item m="1" x="2989"/>
        <item x="464"/>
        <item m="1" x="3346"/>
        <item m="1" x="2661"/>
        <item m="1" x="3011"/>
        <item m="1" x="4047"/>
        <item m="1" x="3168"/>
        <item x="8"/>
        <item m="1" x="2073"/>
        <item m="1" x="2003"/>
        <item m="1" x="814"/>
        <item x="188"/>
        <item m="1" x="3622"/>
        <item m="1" x="1685"/>
        <item m="1" x="1589"/>
        <item m="1" x="1146"/>
        <item m="1" x="3367"/>
        <item m="1" x="4603"/>
        <item m="1" x="3496"/>
        <item m="1" x="1229"/>
        <item m="1" x="1388"/>
        <item m="1" x="1925"/>
        <item x="336"/>
        <item m="1" x="4431"/>
        <item m="1" x="4618"/>
        <item m="1" x="2668"/>
        <item m="1" x="4503"/>
        <item m="1" x="2147"/>
        <item m="1" x="2081"/>
        <item x="53"/>
        <item m="1" x="1593"/>
        <item m="1" x="3057"/>
        <item m="1" x="3675"/>
        <item x="325"/>
        <item x="182"/>
        <item m="1" x="4714"/>
        <item m="1" x="2869"/>
        <item m="1" x="4726"/>
        <item x="523"/>
        <item m="1" x="2067"/>
        <item m="1" x="4615"/>
        <item m="1" x="713"/>
        <item m="1" x="3807"/>
        <item m="1" x="4868"/>
        <item x="468"/>
        <item m="1" x="2524"/>
        <item m="1" x="651"/>
        <item m="1" x="2130"/>
        <item x="229"/>
        <item x="176"/>
        <item m="1" x="1137"/>
        <item m="1" x="2162"/>
        <item m="1" x="3012"/>
        <item m="1" x="3469"/>
        <item m="1" x="1651"/>
        <item m="1" x="2611"/>
        <item m="1" x="3186"/>
        <item x="62"/>
        <item x="360"/>
        <item m="1" x="4705"/>
        <item x="215"/>
        <item m="1" x="914"/>
        <item m="1" x="2778"/>
        <item m="1" x="1631"/>
        <item m="1" x="1608"/>
        <item m="1" x="2270"/>
        <item m="1" x="2583"/>
        <item m="1" x="2971"/>
        <item m="1" x="1367"/>
        <item m="1" x="4680"/>
        <item m="1" x="3800"/>
        <item m="1" x="1312"/>
        <item m="1" x="3455"/>
        <item m="1" x="2235"/>
        <item m="1" x="1678"/>
        <item m="1" x="4797"/>
        <item m="1" x="1494"/>
        <item m="1" x="1066"/>
        <item x="32"/>
        <item m="1" x="4800"/>
        <item m="1" x="4805"/>
        <item m="1" x="4155"/>
        <item x="442"/>
        <item m="1" x="2912"/>
        <item x="199"/>
        <item m="1" x="4984"/>
        <item m="1" x="2314"/>
        <item m="1" x="3823"/>
        <item x="392"/>
        <item m="1" x="639"/>
        <item m="1" x="1692"/>
        <item m="1" x="4657"/>
        <item x="280"/>
        <item x="342"/>
        <item m="1" x="3968"/>
        <item m="1" x="4905"/>
        <item m="1" x="3993"/>
        <item m="1" x="1792"/>
        <item m="1" x="1462"/>
        <item x="341"/>
        <item m="1" x="4980"/>
        <item m="1" x="3446"/>
        <item m="1" x="2299"/>
        <item m="1" x="3105"/>
        <item m="1" x="4851"/>
        <item x="230"/>
        <item m="1" x="4725"/>
        <item m="1" x="733"/>
        <item m="1" x="2936"/>
        <item m="1" x="4276"/>
        <item m="1" x="3996"/>
        <item m="1" x="2982"/>
        <item m="1" x="2226"/>
        <item m="1" x="3316"/>
        <item m="1" x="2809"/>
        <item m="1" x="3498"/>
        <item m="1" x="4492"/>
        <item m="1" x="4696"/>
        <item m="1" x="1733"/>
        <item m="1" x="3521"/>
        <item m="1" x="1021"/>
        <item m="1" x="4874"/>
        <item m="1" x="3835"/>
        <item m="1" x="1921"/>
        <item m="1" x="681"/>
        <item m="1" x="3103"/>
        <item m="1" x="1304"/>
        <item m="1" x="2178"/>
        <item m="1" x="4390"/>
        <item m="1" x="2445"/>
        <item m="1" x="1621"/>
        <item m="1" x="2862"/>
        <item m="1" x="4539"/>
        <item m="1" x="1317"/>
        <item m="1" x="3055"/>
        <item x="387"/>
        <item m="1" x="3173"/>
        <item m="1" x="2264"/>
        <item m="1" x="4005"/>
        <item m="1" x="3883"/>
        <item m="1" x="2219"/>
        <item m="1" x="2452"/>
        <item m="1" x="1086"/>
        <item m="1" x="4351"/>
        <item m="1" x="1961"/>
        <item m="1" x="2838"/>
        <item m="1" x="2136"/>
        <item m="1" x="1419"/>
        <item m="1" x="1715"/>
        <item x="245"/>
        <item m="1" x="3719"/>
        <item m="1" x="1107"/>
        <item m="1" x="1168"/>
        <item m="1" x="2237"/>
        <item m="1" x="4437"/>
        <item m="1" x="4260"/>
        <item m="1" x="3330"/>
        <item x="486"/>
        <item m="1" x="3806"/>
        <item m="1" x="1905"/>
        <item m="1" x="1416"/>
        <item m="1" x="3867"/>
        <item m="1" x="2648"/>
        <item m="1" x="2027"/>
        <item m="1" x="2140"/>
        <item x="534"/>
        <item m="1" x="696"/>
        <item m="1" x="2004"/>
        <item m="1" x="3473"/>
        <item m="1" x="4443"/>
        <item m="1" x="3236"/>
        <item x="324"/>
        <item m="1" x="2432"/>
        <item m="1" x="2231"/>
        <item m="1" x="3629"/>
        <item m="1" x="954"/>
        <item m="1" x="2591"/>
        <item m="1" x="764"/>
        <item m="1" x="3052"/>
        <item m="1" x="1043"/>
        <item m="1" x="753"/>
        <item m="1" x="2059"/>
        <item m="1" x="4807"/>
        <item m="1" x="4779"/>
        <item m="1" x="2651"/>
        <item m="1" x="1911"/>
        <item m="1" x="3727"/>
        <item m="1" x="4770"/>
        <item m="1" x="3102"/>
        <item m="1" x="976"/>
        <item x="128"/>
        <item m="1" x="1231"/>
        <item m="1" x="4516"/>
        <item m="1" x="4349"/>
        <item m="1" x="2879"/>
        <item m="1" x="2161"/>
        <item m="1" x="1505"/>
        <item m="1" x="2295"/>
        <item m="1" x="3481"/>
        <item m="1" x="1450"/>
        <item m="1" x="2840"/>
        <item m="1" x="946"/>
        <item m="1" x="3388"/>
        <item m="1" x="944"/>
        <item m="1" x="2007"/>
        <item m="1" x="2766"/>
        <item m="1" x="2743"/>
        <item m="1" x="3847"/>
        <item m="1" x="4238"/>
        <item m="1" x="4609"/>
        <item m="1" x="3276"/>
        <item m="1" x="2429"/>
        <item x="155"/>
        <item x="479"/>
        <item m="1" x="3323"/>
        <item m="1" x="3047"/>
        <item m="1" x="2829"/>
        <item m="1" x="4184"/>
        <item m="1" x="4810"/>
        <item m="1" x="2889"/>
        <item x="151"/>
        <item m="1" x="3024"/>
        <item m="1" x="2647"/>
        <item m="1" x="2910"/>
        <item m="1" x="1867"/>
        <item m="1" x="3789"/>
        <item m="1" x="1919"/>
        <item m="1" x="3445"/>
        <item m="1" x="4745"/>
        <item m="1" x="2867"/>
        <item m="1" x="2555"/>
        <item m="1" x="1497"/>
        <item m="1" x="782"/>
        <item m="1" x="2548"/>
        <item m="1" x="2038"/>
        <item m="1" x="3953"/>
        <item m="1" x="3328"/>
        <item m="1" x="730"/>
        <item m="1" x="3028"/>
        <item m="1" x="1566"/>
        <item m="1" x="3523"/>
        <item m="1" x="3209"/>
        <item m="1" x="3813"/>
        <item m="1" x="1241"/>
        <item m="1" x="1528"/>
        <item m="1" x="4553"/>
        <item m="1" x="2965"/>
        <item m="1" x="1177"/>
        <item m="1" x="3828"/>
        <item m="1" x="1936"/>
        <item m="1" x="4674"/>
        <item m="1" x="3290"/>
        <item m="1" x="2450"/>
        <item m="1" x="3972"/>
        <item m="1" x="4186"/>
        <item m="1" x="1085"/>
        <item m="1" x="835"/>
        <item m="1" x="3382"/>
        <item m="1" x="4630"/>
        <item m="1" x="2334"/>
        <item m="1" x="3913"/>
        <item m="1" x="4602"/>
        <item m="1" x="4791"/>
        <item m="1" x="1776"/>
        <item m="1" x="2186"/>
        <item m="1" x="2471"/>
        <item m="1" x="2748"/>
        <item m="1" x="2937"/>
        <item m="1" x="2355"/>
        <item m="1" x="1641"/>
        <item m="1" x="624"/>
        <item m="1" x="1805"/>
        <item m="1" x="2408"/>
        <item x="306"/>
        <item m="1" x="2960"/>
        <item x="469"/>
        <item m="1" x="4079"/>
        <item m="1" x="3191"/>
        <item m="1" x="1073"/>
        <item x="169"/>
        <item x="487"/>
        <item x="497"/>
        <item m="1" x="663"/>
        <item m="1" x="4130"/>
        <item m="1" x="1620"/>
        <item m="1" x="961"/>
        <item x="457"/>
        <item m="1" x="2092"/>
        <item m="1" x="1389"/>
        <item m="1" x="1536"/>
        <item m="1" x="1718"/>
        <item m="1" x="3383"/>
        <item m="1" x="3641"/>
        <item m="1" x="3973"/>
        <item m="1" x="4241"/>
        <item m="1" x="1238"/>
        <item m="1" x="4584"/>
        <item x="548"/>
        <item m="1" x="4243"/>
        <item m="1" x="4486"/>
        <item m="1" x="4682"/>
        <item m="1" x="1957"/>
        <item m="1" x="4021"/>
        <item m="1" x="2949"/>
        <item m="1" x="2345"/>
        <item m="1" x="3829"/>
        <item m="1" x="4748"/>
        <item m="1" x="3838"/>
        <item m="1" x="1365"/>
        <item m="1" x="1740"/>
        <item x="287"/>
        <item m="1" x="4718"/>
        <item x="171"/>
        <item m="1" x="2978"/>
        <item m="1" x="1665"/>
        <item m="1" x="2033"/>
        <item m="1" x="3189"/>
        <item m="1" x="980"/>
        <item m="1" x="1764"/>
        <item m="1" x="3164"/>
        <item m="1" x="1166"/>
        <item m="1" x="4700"/>
        <item x="21"/>
        <item m="1" x="3392"/>
        <item m="1" x="3549"/>
        <item x="83"/>
        <item m="1" x="1695"/>
        <item m="1" x="2438"/>
        <item m="1" x="4733"/>
        <item x="483"/>
        <item m="1" x="3071"/>
        <item m="1" x="2858"/>
        <item m="1" x="4365"/>
        <item m="1" x="1249"/>
        <item m="1" x="3934"/>
        <item m="1" x="4265"/>
        <item m="1" x="1881"/>
        <item m="1" x="4758"/>
        <item m="1" x="4638"/>
        <item m="1" x="3162"/>
        <item m="1" x="3084"/>
        <item m="1" x="4855"/>
        <item m="1" x="4759"/>
        <item m="1" x="992"/>
        <item m="1" x="3237"/>
        <item m="1" x="4563"/>
        <item x="367"/>
        <item m="1" x="3746"/>
        <item m="1" x="767"/>
        <item m="1" x="852"/>
        <item m="1" x="1321"/>
        <item m="1" x="2772"/>
        <item m="1" x="3893"/>
        <item m="1" x="1370"/>
        <item m="1" x="2911"/>
        <item m="1" x="1484"/>
        <item m="1" x="1672"/>
        <item m="1" x="2488"/>
        <item m="1" x="3772"/>
        <item m="1" x="3512"/>
        <item m="1" x="2657"/>
        <item m="1" x="2682"/>
        <item m="1" x="1798"/>
        <item m="1" x="3059"/>
        <item m="1" x="3729"/>
        <item m="1" x="609"/>
        <item m="1" x="1989"/>
        <item m="1" x="1028"/>
        <item m="1" x="1827"/>
        <item m="1" x="4862"/>
        <item m="1" x="2600"/>
        <item m="1" x="4625"/>
        <item m="1" x="2580"/>
        <item m="1" x="2097"/>
        <item m="1" x="3544"/>
        <item m="1" x="3728"/>
        <item m="1" x="1662"/>
        <item m="1" x="3716"/>
        <item m="1" x="3308"/>
        <item m="1" x="3733"/>
        <item m="1" x="4367"/>
        <item x="484"/>
        <item m="1" x="4065"/>
        <item x="146"/>
        <item x="195"/>
        <item m="1" x="712"/>
        <item m="1" x="840"/>
        <item m="1" x="657"/>
        <item m="1" x="1027"/>
        <item m="1" x="3119"/>
        <item m="1" x="3009"/>
        <item m="1" x="2520"/>
        <item m="1" x="1179"/>
        <item m="1" x="2437"/>
        <item x="93"/>
        <item m="1" x="2476"/>
        <item m="1" x="3681"/>
        <item m="1" x="812"/>
        <item m="1" x="3685"/>
        <item x="99"/>
        <item m="1" x="786"/>
        <item x="153"/>
        <item m="1" x="4883"/>
        <item m="1" x="1480"/>
        <item m="1" x="1051"/>
        <item x="348"/>
        <item m="1" x="4739"/>
        <item m="1" x="3338"/>
        <item m="1" x="2275"/>
        <item m="1" x="678"/>
        <item x="52"/>
        <item m="1" x="3666"/>
        <item m="1" x="2014"/>
        <item m="1" x="1136"/>
        <item x="187"/>
        <item m="1" x="1427"/>
        <item m="1" x="1971"/>
        <item m="1" x="1661"/>
        <item m="1" x="4143"/>
        <item m="1" x="1878"/>
        <item m="1" x="1274"/>
        <item m="1" x="4548"/>
        <item m="1" x="4177"/>
        <item m="1" x="1244"/>
        <item m="1" x="2481"/>
        <item x="518"/>
        <item m="1" x="1702"/>
        <item m="1" x="1809"/>
        <item m="1" x="2974"/>
        <item x="203"/>
        <item m="1" x="4015"/>
        <item m="1" x="3401"/>
        <item m="1" x="2853"/>
        <item x="488"/>
        <item x="427"/>
        <item x="355"/>
        <item m="1" x="2029"/>
        <item x="381"/>
        <item m="1" x="2364"/>
        <item x="233"/>
        <item m="1" x="610"/>
        <item m="1" x="3242"/>
        <item m="1" x="1954"/>
        <item m="1" x="2906"/>
        <item m="1" x="3329"/>
        <item m="1" x="3016"/>
        <item m="1" x="3014"/>
        <item m="1" x="2728"/>
        <item m="1" x="770"/>
        <item m="1" x="2914"/>
        <item m="1" x="1886"/>
        <item x="118"/>
        <item m="1" x="2015"/>
        <item x="31"/>
        <item m="1" x="964"/>
        <item m="1" x="2248"/>
        <item m="1" x="2175"/>
        <item x="71"/>
        <item m="1" x="1775"/>
        <item m="1" x="3220"/>
        <item m="1" x="2261"/>
        <item m="1" x="888"/>
        <item m="1" x="919"/>
        <item m="1" x="4809"/>
        <item x="428"/>
        <item m="1" x="1943"/>
        <item m="1" x="3580"/>
        <item m="1" x="2536"/>
        <item m="1" x="2541"/>
        <item m="1" x="1440"/>
        <item m="1" x="2967"/>
        <item m="1" x="1260"/>
        <item m="1" x="2093"/>
        <item m="1" x="3990"/>
        <item m="1" x="669"/>
        <item m="1" x="4977"/>
        <item m="1" x="625"/>
        <item m="1" x="2095"/>
        <item m="1" x="3926"/>
        <item m="1" x="2847"/>
        <item m="1" x="2322"/>
        <item m="1" x="2855"/>
        <item m="1" x="4018"/>
        <item m="1" x="2194"/>
        <item m="1" x="4697"/>
        <item m="1" x="2327"/>
        <item m="1" x="1564"/>
        <item m="1" x="3771"/>
        <item x="290"/>
        <item x="350"/>
        <item m="1" x="2898"/>
        <item m="1" x="3006"/>
        <item m="1" x="737"/>
        <item m="1" x="4886"/>
        <item m="1" x="1104"/>
        <item m="1" x="4775"/>
        <item m="1" x="1783"/>
        <item m="1" x="3880"/>
        <item x="415"/>
        <item x="589"/>
        <item x="511"/>
        <item m="1" x="957"/>
        <item m="1" x="2123"/>
        <item m="1" x="4611"/>
        <item m="1" x="4828"/>
        <item m="1" x="3485"/>
        <item m="1" x="1502"/>
        <item m="1" x="4924"/>
        <item m="1" x="3418"/>
        <item m="1" x="886"/>
        <item m="1" x="4645"/>
        <item m="1" x="1182"/>
        <item m="1" x="894"/>
        <item m="1" x="4158"/>
        <item m="1" x="3739"/>
        <item m="1" x="3556"/>
        <item m="1" x="2597"/>
        <item m="1" x="4301"/>
        <item m="1" x="667"/>
        <item x="138"/>
        <item m="1" x="2691"/>
        <item m="1" x="1705"/>
        <item x="18"/>
        <item m="1" x="4036"/>
        <item m="1" x="3018"/>
        <item m="1" x="1940"/>
        <item m="1" x="1232"/>
        <item m="1" x="2508"/>
        <item m="1" x="2401"/>
        <item m="1" x="1690"/>
        <item m="1" x="4505"/>
        <item m="1" x="1788"/>
        <item m="1" x="1699"/>
        <item m="1" x="2726"/>
        <item m="1" x="2950"/>
        <item m="1" x="3425"/>
        <item m="1" x="834"/>
        <item m="1" x="4319"/>
        <item m="1" x="2002"/>
        <item x="284"/>
        <item m="1" x="3097"/>
        <item m="1" x="1183"/>
        <item m="1" x="3640"/>
        <item m="1" x="1134"/>
        <item m="1" x="4866"/>
        <item m="1" x="4747"/>
        <item m="1" x="2347"/>
        <item m="1" x="3448"/>
        <item m="1" x="703"/>
        <item m="1" x="1813"/>
        <item x="520"/>
        <item m="1" x="2077"/>
        <item x="55"/>
        <item m="1" x="801"/>
        <item m="1" x="1803"/>
        <item m="1" x="1815"/>
        <item m="1" x="4517"/>
        <item m="1" x="2633"/>
        <item m="1" x="2184"/>
        <item m="1" x="3803"/>
        <item m="1" x="1748"/>
        <item m="1" x="1476"/>
        <item x="424"/>
        <item m="1" x="1133"/>
        <item x="514"/>
        <item m="1" x="1071"/>
        <item m="1" x="2952"/>
        <item m="1" x="1127"/>
        <item m="1" x="4526"/>
        <item m="1" x="4355"/>
        <item m="1" x="3491"/>
        <item m="1" x="1992"/>
        <item m="1" x="1874"/>
        <item x="475"/>
        <item m="1" x="1543"/>
        <item m="1" x="758"/>
        <item x="529"/>
        <item m="1" x="668"/>
        <item m="1" x="4963"/>
        <item x="272"/>
        <item m="1" x="2293"/>
        <item m="1" x="4496"/>
        <item m="1" x="1947"/>
        <item m="1" x="2112"/>
        <item m="1" x="2187"/>
        <item m="1" x="4549"/>
        <item m="1" x="2346"/>
        <item m="1" x="1580"/>
        <item m="1" x="4322"/>
        <item x="377"/>
        <item m="1" x="717"/>
        <item m="1" x="4473"/>
        <item x="351"/>
        <item m="1" x="1415"/>
        <item m="1" x="1645"/>
        <item m="1" x="4061"/>
        <item m="1" x="1941"/>
        <item m="1" x="3085"/>
        <item m="1" x="2461"/>
        <item m="1" x="4132"/>
        <item m="1" x="642"/>
        <item m="1" x="2143"/>
        <item m="1" x="1473"/>
        <item m="1" x="4206"/>
        <item x="458"/>
        <item m="1" x="4968"/>
        <item m="1" x="3999"/>
        <item m="1" x="3540"/>
        <item m="1" x="3089"/>
        <item m="1" x="1689"/>
        <item m="1" x="3253"/>
        <item m="1" x="1030"/>
        <item m="1" x="2782"/>
        <item x="291"/>
        <item x="366"/>
        <item m="1" x="1895"/>
        <item m="1" x="3536"/>
        <item m="1" x="4801"/>
        <item m="1" x="3254"/>
        <item m="1" x="3949"/>
        <item m="1" x="3339"/>
        <item x="553"/>
        <item m="1" x="728"/>
        <item m="1" x="1917"/>
        <item m="1" x="3348"/>
        <item m="1" x="3333"/>
        <item m="1" x="2480"/>
        <item m="1" x="2392"/>
        <item m="1" x="4215"/>
        <item m="1" x="1199"/>
        <item m="1" x="4257"/>
        <item m="1" x="2139"/>
        <item m="1" x="4847"/>
        <item m="1" x="2810"/>
        <item m="1" x="4124"/>
        <item m="1" x="2411"/>
        <item m="1" x="4450"/>
        <item m="1" x="2156"/>
        <item m="1" x="2528"/>
        <item m="1" x="2116"/>
        <item m="1" x="1785"/>
        <item x="371"/>
        <item m="1" x="637"/>
        <item m="1" x="4773"/>
        <item m="1" x="3815"/>
        <item m="1" x="1287"/>
        <item m="1" x="2218"/>
        <item m="1" x="1910"/>
        <item m="1" x="739"/>
        <item x="236"/>
        <item m="1" x="3704"/>
        <item m="1" x="3161"/>
        <item m="1" x="881"/>
        <item m="1" x="4056"/>
        <item m="1" x="3022"/>
        <item m="1" x="2747"/>
        <item m="1" x="952"/>
        <item m="1" x="4626"/>
        <item m="1" x="1064"/>
        <item m="1" x="1186"/>
        <item m="1" x="4345"/>
        <item m="1" x="1656"/>
        <item m="1" x="1202"/>
        <item m="1" x="2373"/>
        <item m="1" x="3911"/>
        <item m="1" x="1532"/>
        <item m="1" x="2075"/>
        <item m="1" x="1398"/>
        <item m="1" x="3516"/>
        <item m="1" x="2724"/>
        <item m="1" x="2311"/>
        <item m="1" x="1761"/>
        <item m="1" x="4734"/>
        <item m="1" x="2884"/>
        <item m="1" x="763"/>
        <item m="1" x="3928"/>
        <item m="1" x="3166"/>
        <item m="1" x="1345"/>
        <item m="1" x="969"/>
        <item m="1" x="2532"/>
        <item m="1" x="2627"/>
        <item m="1" x="4498"/>
        <item m="1" x="1901"/>
        <item m="1" x="998"/>
        <item m="1" x="691"/>
        <item m="1" x="3769"/>
        <item m="1" x="4973"/>
        <item m="1" x="4640"/>
        <item m="1" x="1069"/>
        <item m="1" x="4541"/>
        <item m="1" x="2055"/>
        <item m="1" x="2996"/>
        <item m="1" x="1872"/>
        <item m="1" x="3791"/>
        <item m="1" x="4078"/>
        <item m="1" x="2492"/>
        <item m="1" x="3604"/>
        <item m="1" x="2013"/>
        <item m="1" x="2351"/>
        <item x="192"/>
        <item m="1" x="2612"/>
        <item m="1" x="3711"/>
        <item m="1" x="3506"/>
        <item m="1" x="4223"/>
        <item m="1" x="809"/>
        <item x="86"/>
        <item m="1" x="4510"/>
        <item m="1" x="2544"/>
        <item m="1" x="3471"/>
        <item m="1" x="2574"/>
        <item m="1" x="2815"/>
        <item m="1" x="1061"/>
        <item m="1" x="2901"/>
        <item m="1" x="4591"/>
        <item m="1" x="3577"/>
        <item m="1" x="3526"/>
        <item m="1" x="4007"/>
        <item x="34"/>
        <item m="1" x="2816"/>
        <item m="1" x="3602"/>
        <item x="113"/>
        <item m="1" x="2493"/>
        <item x="386"/>
        <item m="1" x="1053"/>
        <item m="1" x="3396"/>
        <item m="1" x="3035"/>
        <item m="1" x="1100"/>
        <item m="1" x="4612"/>
        <item m="1" x="2039"/>
        <item m="1" x="4306"/>
        <item x="77"/>
        <item x="304"/>
        <item m="1" x="4042"/>
        <item m="1" x="1396"/>
        <item m="1" x="2391"/>
        <item m="1" x="1969"/>
        <item m="1" x="2686"/>
        <item m="1" x="4459"/>
        <item m="1" x="3848"/>
        <item m="1" x="3994"/>
        <item m="1" x="3902"/>
        <item m="1" x="3795"/>
        <item m="1" x="781"/>
        <item m="1" x="3313"/>
        <item x="345"/>
        <item m="1" x="2678"/>
        <item x="372"/>
        <item m="1" x="3172"/>
        <item m="1" x="2672"/>
        <item m="1" x="2676"/>
        <item m="1" x="3660"/>
        <item m="1" x="3714"/>
        <item m="1" x="4976"/>
        <item m="1" x="3694"/>
        <item x="20"/>
        <item m="1" x="1339"/>
        <item x="273"/>
        <item m="1" x="2683"/>
        <item m="1" x="2087"/>
        <item m="1" x="2315"/>
        <item m="1" x="695"/>
        <item m="1" x="2646"/>
        <item m="1" x="3874"/>
        <item x="49"/>
        <item x="565"/>
        <item m="1" x="2671"/>
        <item m="1" x="756"/>
        <item m="1" x="2367"/>
        <item m="1" x="3582"/>
        <item m="1" x="3849"/>
        <item m="1" x="3586"/>
        <item x="166"/>
        <item m="1" x="3176"/>
        <item m="1" x="1383"/>
        <item m="1" x="3831"/>
        <item m="1" x="4353"/>
        <item m="1" x="4172"/>
        <item m="1" x="4794"/>
        <item m="1" x="1315"/>
        <item m="1" x="4445"/>
        <item m="1" x="3202"/>
        <item m="1" x="2630"/>
        <item m="1" x="4600"/>
        <item m="1" x="1510"/>
        <item m="1" x="4142"/>
        <item m="1" x="1115"/>
        <item m="1" x="2444"/>
        <item m="1" x="1632"/>
        <item m="1" x="1599"/>
        <item m="1" x="4346"/>
        <item m="1" x="4907"/>
        <item x="317"/>
        <item m="1" x="1962"/>
        <item m="1" x="2988"/>
        <item x="271"/>
        <item m="1" x="777"/>
        <item m="1" x="2645"/>
        <item m="1" x="1508"/>
        <item m="1" x="1214"/>
        <item m="1" x="4923"/>
        <item m="1" x="3327"/>
        <item m="1" x="1546"/>
        <item m="1" x="2658"/>
        <item m="1" x="4771"/>
        <item m="1" x="931"/>
        <item m="1" x="618"/>
        <item m="1" x="2193"/>
        <item m="1" x="4212"/>
        <item m="1" x="2787"/>
        <item m="1" x="4472"/>
        <item m="1" x="3030"/>
        <item m="1" x="4650"/>
        <item m="1" x="1754"/>
        <item x="137"/>
        <item m="1" x="3908"/>
        <item m="1" x="3875"/>
        <item m="1" x="2560"/>
        <item m="1" x="2283"/>
        <item m="1" x="3717"/>
        <item m="1" x="1099"/>
        <item m="1" x="1527"/>
        <item m="1" x="4887"/>
        <item m="1" x="4929"/>
        <item x="528"/>
        <item m="1" x="3595"/>
        <item m="1" x="1883"/>
        <item m="1" x="1361"/>
        <item m="1" x="1994"/>
        <item m="1" x="3205"/>
        <item m="1" x="1976"/>
        <item m="1" x="836"/>
        <item m="1" x="3553"/>
        <item m="1" x="1288"/>
        <item m="1" x="3671"/>
        <item m="1" x="4010"/>
        <item m="1" x="3039"/>
        <item m="1" x="3397"/>
        <item m="1" x="3992"/>
        <item m="1" x="1857"/>
        <item m="1" x="1709"/>
        <item m="1" x="4525"/>
        <item m="1" x="3832"/>
        <item m="1" x="4461"/>
        <item m="1" x="2305"/>
        <item x="60"/>
        <item m="1" x="1588"/>
        <item m="1" x="4106"/>
        <item m="1" x="1038"/>
        <item m="1" x="849"/>
        <item m="1" x="2680"/>
        <item m="1" x="3306"/>
        <item m="1" x="2887"/>
        <item m="1" x="1974"/>
        <item x="286"/>
        <item m="1" x="1638"/>
        <item m="1" x="2744"/>
        <item m="1" x="3754"/>
        <item m="1" x="4429"/>
        <item m="1" x="1062"/>
        <item m="1" x="3432"/>
        <item m="1" x="3380"/>
        <item m="1" x="4291"/>
        <item m="1" x="3174"/>
        <item m="1" x="861"/>
        <item x="499"/>
        <item m="1" x="2249"/>
        <item m="1" x="3213"/>
        <item m="1" x="1184"/>
        <item m="1" x="710"/>
        <item m="1" x="2353"/>
        <item m="1" x="2896"/>
        <item m="1" x="2084"/>
        <item m="1" x="2504"/>
        <item m="1" x="3542"/>
        <item m="1" x="3559"/>
        <item m="1" x="3749"/>
        <item x="470"/>
        <item m="1" x="670"/>
        <item m="1" x="1755"/>
        <item m="1" x="3931"/>
        <item m="1" x="4253"/>
        <item m="1" x="4653"/>
        <item m="1" x="4619"/>
        <item m="1" x="3013"/>
        <item m="1" x="4146"/>
        <item m="1" x="3187"/>
        <item m="1" x="4608"/>
        <item m="1" x="3700"/>
        <item x="569"/>
        <item m="1" x="4298"/>
        <item m="1" x="1677"/>
        <item m="1" x="4872"/>
        <item m="1" x="1307"/>
        <item m="1" x="4476"/>
        <item x="482"/>
        <item m="1" x="4315"/>
        <item m="1" x="2094"/>
        <item m="1" x="773"/>
        <item m="1" x="4702"/>
        <item x="435"/>
        <item m="1" x="1633"/>
        <item m="1" x="4857"/>
        <item m="1" x="3041"/>
        <item m="1" x="2430"/>
        <item m="1" x="1973"/>
        <item m="1" x="3279"/>
        <item m="1" x="4033"/>
        <item m="1" x="1451"/>
        <item m="1" x="766"/>
        <item m="1" x="970"/>
        <item m="1" x="4249"/>
        <item m="1" x="1320"/>
        <item m="1" x="3015"/>
        <item m="1" x="1820"/>
        <item m="1" x="1331"/>
        <item m="1" x="2825"/>
        <item m="1" x="1999"/>
        <item m="1" x="4769"/>
        <item m="1" x="1068"/>
        <item m="1" x="2588"/>
        <item x="356"/>
        <item m="1" x="789"/>
        <item m="1" x="797"/>
        <item m="1" x="2599"/>
        <item m="1" x="1548"/>
        <item m="1" x="3104"/>
        <item m="1" x="2656"/>
        <item m="1" x="2729"/>
        <item m="1" x="2924"/>
        <item m="1" x="4283"/>
        <item m="1" x="2274"/>
        <item m="1" x="1640"/>
        <item m="1" x="4272"/>
        <item m="1" x="4962"/>
        <item m="1" x="905"/>
        <item m="1" x="3163"/>
        <item m="1" x="3955"/>
        <item m="1" x="3517"/>
        <item m="1" x="4347"/>
        <item m="1" x="2309"/>
        <item m="1" x="898"/>
        <item m="1" x="1306"/>
        <item m="1" x="820"/>
        <item m="1" x="1262"/>
        <item m="1" x="787"/>
        <item m="1" x="1952"/>
        <item m="1" x="2845"/>
        <item m="1" x="2902"/>
        <item x="594"/>
        <item m="1" x="3750"/>
        <item m="1" x="4527"/>
        <item m="1" x="4960"/>
        <item x="471"/>
        <item m="1" x="1272"/>
        <item m="1" x="3226"/>
        <item m="1" x="3961"/>
        <item m="1" x="2585"/>
        <item m="1" x="2042"/>
        <item m="1" x="1553"/>
        <item x="30"/>
        <item m="1" x="2479"/>
        <item m="1" x="4362"/>
        <item m="1" x="4521"/>
        <item m="1" x="4537"/>
        <item x="456"/>
        <item m="1" x="1181"/>
        <item m="1" x="3947"/>
        <item m="1" x="2120"/>
        <item m="1" x="3482"/>
        <item m="1" x="640"/>
        <item m="1" x="2888"/>
        <item m="1" x="1447"/>
        <item m="1" x="3967"/>
        <item m="1" x="3590"/>
        <item m="1" x="3985"/>
        <item m="1" x="3178"/>
        <item x="495"/>
        <item m="1" x="4829"/>
        <item m="1" x="3461"/>
        <item m="1" x="2738"/>
        <item m="1" x="2628"/>
        <item m="1" x="3470"/>
        <item m="1" x="1781"/>
        <item m="1" x="4093"/>
        <item m="1" x="4876"/>
        <item m="1" x="2185"/>
        <item m="1" x="1222"/>
        <item m="1" x="3743"/>
        <item m="1" x="1200"/>
        <item m="1" x="4284"/>
        <item x="259"/>
        <item m="1" x="4363"/>
        <item m="1" x="1542"/>
        <item m="1" x="4506"/>
        <item x="512"/>
        <item m="1" x="1067"/>
        <item m="1" x="3049"/>
        <item m="1" x="2915"/>
        <item m="1" x="3851"/>
        <item m="1" x="1782"/>
        <item m="1" x="604"/>
        <item x="568"/>
        <item m="1" x="1870"/>
        <item m="1" x="1399"/>
        <item m="1" x="1773"/>
        <item m="1" x="4332"/>
        <item m="1" x="1557"/>
        <item m="1" x="4879"/>
        <item m="1" x="4041"/>
        <item m="1" x="2619"/>
        <item m="1" x="4123"/>
        <item m="1" x="1309"/>
        <item m="1" x="1196"/>
        <item m="1" x="955"/>
        <item m="1" x="1364"/>
        <item m="1" x="3808"/>
        <item x="361"/>
        <item m="1" x="3234"/>
        <item m="1" x="3759"/>
        <item m="1" x="4201"/>
        <item m="1" x="1084"/>
        <item m="1" x="2803"/>
        <item m="1" x="4565"/>
        <item m="1" x="4170"/>
        <item m="1" x="1348"/>
        <item m="1" x="4087"/>
        <item m="1" x="3183"/>
        <item x="390"/>
        <item x="347"/>
        <item x="269"/>
        <item m="1" x="4358"/>
        <item m="1" x="3593"/>
        <item m="1" x="2117"/>
        <item m="1" x="4195"/>
        <item m="1" x="3150"/>
        <item m="1" x="796"/>
        <item m="1" x="2223"/>
        <item m="1" x="1485"/>
        <item x="311"/>
        <item m="1" x="4189"/>
        <item x="105"/>
        <item m="1" x="4690"/>
        <item m="1" x="1547"/>
        <item m="1" x="1149"/>
        <item m="1" x="4631"/>
        <item m="1" x="2752"/>
        <item m="1" x="1230"/>
        <item m="1" x="1088"/>
        <item m="1" x="3623"/>
        <item m="1" x="4246"/>
        <item m="1" x="4354"/>
        <item m="1" x="3122"/>
        <item m="1" x="3589"/>
        <item x="600"/>
        <item m="1" x="1929"/>
        <item m="1" x="3689"/>
        <item m="1" x="4248"/>
        <item x="63"/>
        <item m="1" x="4544"/>
        <item m="1" x="1824"/>
        <item m="1" x="4821"/>
        <item m="1" x="3792"/>
        <item x="444"/>
        <item x="595"/>
        <item m="1" x="3737"/>
        <item x="231"/>
        <item x="246"/>
        <item x="502"/>
        <item m="1" x="3462"/>
        <item m="1" x="4558"/>
        <item m="1" x="4782"/>
        <item m="1" x="2856"/>
        <item m="1" x="2756"/>
        <item m="1" x="2205"/>
        <item m="1" x="727"/>
        <item m="1" x="3839"/>
        <item m="1" x="959"/>
        <item m="1" x="2217"/>
        <item m="1" x="1722"/>
        <item m="1" x="1007"/>
        <item m="1" x="4426"/>
        <item m="1" x="839"/>
        <item m="1" x="2113"/>
        <item m="1" x="1735"/>
        <item m="1" x="1729"/>
        <item x="268"/>
        <item m="1" x="4925"/>
        <item m="1" x="3083"/>
        <item m="1" x="1652"/>
        <item m="1" x="2360"/>
        <item m="1" x="3987"/>
        <item m="1" x="4571"/>
        <item m="1" x="3780"/>
        <item m="1" x="3899"/>
        <item m="1" x="2694"/>
        <item x="177"/>
        <item x="156"/>
        <item x="481"/>
        <item m="1" x="4398"/>
        <item m="1" x="2562"/>
        <item x="238"/>
        <item m="1" x="4648"/>
        <item m="1" x="4002"/>
        <item m="1" x="1120"/>
        <item m="1" x="1266"/>
        <item m="1" x="2603"/>
        <item m="1" x="1763"/>
        <item m="1" x="4491"/>
        <item x="590"/>
        <item m="1" x="1352"/>
        <item m="1" x="2690"/>
        <item m="1" x="2342"/>
        <item m="1" x="4133"/>
        <item m="1" x="2317"/>
        <item m="1" x="3548"/>
        <item m="1" x="1297"/>
        <item m="1" x="4062"/>
        <item x="560"/>
        <item m="1" x="1358"/>
        <item m="1" x="1382"/>
        <item m="1" x="1704"/>
        <item m="1" x="1341"/>
        <item m="1" x="1046"/>
        <item m="1" x="2882"/>
        <item m="1" x="3638"/>
        <item m="1" x="3762"/>
        <item m="1" x="2256"/>
        <item m="1" x="3785"/>
        <item m="1" x="3954"/>
        <item m="1" x="2697"/>
        <item x="56"/>
        <item m="1" x="1057"/>
        <item m="1" x="2913"/>
        <item m="1" x="1609"/>
        <item m="1" x="3765"/>
        <item m="1" x="939"/>
        <item m="1" x="2669"/>
        <item m="1" x="790"/>
        <item m="1" x="1984"/>
        <item m="1" x="3644"/>
        <item m="1" x="4636"/>
        <item m="1" x="3656"/>
        <item m="1" x="3215"/>
        <item m="1" x="2765"/>
        <item m="1" x="2758"/>
        <item m="1" x="1742"/>
        <item m="1" x="3910"/>
        <item m="1" x="1247"/>
        <item m="1" x="1664"/>
        <item m="1" x="3976"/>
        <item m="1" x="2880"/>
        <item m="1" x="3424"/>
        <item x="526"/>
        <item m="1" x="2146"/>
        <item m="1" x="4102"/>
        <item m="1" x="1240"/>
        <item m="1" x="1614"/>
        <item m="1" x="3578"/>
        <item m="1" x="1164"/>
        <item m="1" x="1189"/>
        <item m="1" x="1453"/>
        <item m="1" x="4368"/>
        <item m="1" x="2543"/>
        <item m="1" x="3487"/>
        <item m="1" x="2064"/>
        <item m="1" x="3894"/>
        <item m="1" x="2358"/>
        <item m="1" x="1322"/>
        <item m="1" x="4687"/>
        <item m="1" x="776"/>
        <item m="1" x="2422"/>
        <item m="1" x="2987"/>
        <item m="1" x="1412"/>
        <item m="1" x="1036"/>
        <item m="1" x="1114"/>
        <item m="1" x="4343"/>
        <item m="1" x="3618"/>
        <item m="1" x="1912"/>
        <item m="1" x="4160"/>
        <item m="1" x="4512"/>
        <item m="1" x="4710"/>
        <item m="1" x="2643"/>
        <item m="1" x="1439"/>
        <item m="1" x="2727"/>
        <item m="1" x="2063"/>
        <item m="1" x="3963"/>
        <item m="1" x="4751"/>
        <item x="498"/>
        <item m="1" x="869"/>
        <item x="189"/>
        <item m="1" x="3406"/>
        <item m="1" x="3073"/>
        <item m="1" x="1908"/>
        <item x="220"/>
        <item m="1" x="3825"/>
        <item m="1" x="2443"/>
        <item x="394"/>
        <item m="1" x="2951"/>
        <item m="1" x="4372"/>
        <item m="1" x="4915"/>
        <item x="173"/>
        <item x="440"/>
        <item m="1" x="4153"/>
        <item m="1" x="4207"/>
        <item m="1" x="746"/>
        <item m="1" x="648"/>
        <item x="383"/>
        <item x="11"/>
        <item m="1" x="3020"/>
        <item m="1" x="838"/>
        <item m="1" x="785"/>
        <item m="1" x="804"/>
        <item m="1" x="3981"/>
        <item m="1" x="4853"/>
        <item m="1" x="4202"/>
        <item x="94"/>
        <item m="1" x="2926"/>
        <item m="1" x="4937"/>
        <item m="1" x="2328"/>
        <item m="1" x="1866"/>
        <item m="1" x="2664"/>
        <item m="1" x="3196"/>
        <item m="1" x="1039"/>
        <item m="1" x="1810"/>
        <item m="1" x="3678"/>
        <item m="1" x="4316"/>
        <item m="1" x="751"/>
        <item m="1" x="1492"/>
        <item m="1" x="4115"/>
        <item m="1" x="829"/>
        <item m="1" x="3404"/>
        <item m="1" x="2783"/>
        <item x="168"/>
        <item m="1" x="2230"/>
        <item m="1" x="4678"/>
        <item x="396"/>
        <item m="1" x="4844"/>
        <item m="1" x="3079"/>
        <item m="1" x="3924"/>
        <item m="1" x="4562"/>
        <item m="1" x="4911"/>
        <item m="1" x="1414"/>
        <item m="1" x="4499"/>
        <item m="1" x="1360"/>
        <item x="516"/>
        <item x="492"/>
        <item m="1" x="4454"/>
        <item m="1" x="633"/>
        <item m="1" x="3852"/>
        <item m="1" x="4422"/>
        <item m="1" x="1927"/>
        <item m="1" x="4975"/>
        <item m="1" x="3597"/>
        <item x="490"/>
        <item m="1" x="2405"/>
        <item x="184"/>
        <item x="180"/>
        <item m="1" x="4104"/>
        <item m="1" x="3293"/>
        <item m="1" x="1411"/>
        <item m="1" x="1234"/>
        <item m="1" x="1519"/>
        <item m="1" x="1799"/>
        <item m="1" x="4867"/>
        <item m="1" x="1132"/>
        <item m="1" x="3251"/>
        <item m="1" x="1047"/>
        <item m="1" x="1294"/>
        <item m="1" x="3732"/>
        <item m="1" x="4159"/>
        <item m="1" x="1328"/>
        <item m="1" x="2265"/>
        <item m="1" x="4039"/>
        <item m="1" x="2207"/>
        <item m="1" x="1250"/>
        <item m="1" x="2058"/>
        <item m="1" x="3478"/>
        <item x="248"/>
        <item m="1" x="982"/>
        <item x="35"/>
        <item m="1" x="1865"/>
        <item x="322"/>
        <item m="1" x="1418"/>
        <item x="591"/>
        <item m="1" x="1859"/>
        <item m="1" x="1534"/>
        <item m="1" x="4634"/>
        <item m="1" x="1095"/>
        <item m="1" x="4812"/>
        <item x="385"/>
        <item x="376"/>
        <item m="1" x="1579"/>
        <item x="408"/>
        <item m="1" x="2832"/>
        <item m="1" x="4983"/>
        <item m="1" x="675"/>
        <item x="42"/>
        <item m="1" x="1126"/>
        <item m="1" x="2750"/>
        <item m="1" x="3341"/>
        <item m="1" x="3882"/>
        <item x="234"/>
        <item m="1" x="4919"/>
        <item m="1" x="974"/>
        <item m="1" x="3005"/>
        <item m="1" x="918"/>
        <item m="1" x="3665"/>
        <item m="1" x="3476"/>
        <item m="1" x="752"/>
        <item m="1" x="1144"/>
        <item m="1" x="2835"/>
        <item m="1" x="3358"/>
        <item m="1" x="3779"/>
        <item m="1" x="1777"/>
        <item m="1" x="4030"/>
        <item m="1" x="2764"/>
        <item m="1" x="3475"/>
        <item m="1" x="2159"/>
        <item m="1" x="3116"/>
        <item m="1" x="4987"/>
        <item m="1" x="672"/>
        <item m="1" x="1572"/>
        <item m="1" x="3332"/>
        <item m="1" x="2865"/>
        <item m="1" x="938"/>
        <item m="1" x="942"/>
        <item x="463"/>
        <item m="1" x="979"/>
        <item m="1" x="2650"/>
        <item m="1" x="4330"/>
        <item m="1" x="1123"/>
        <item m="1" x="871"/>
        <item m="1" x="4356"/>
        <item m="1" x="716"/>
        <item m="1" x="4399"/>
        <item m="1" x="2483"/>
        <item x="598"/>
        <item m="1" x="684"/>
        <item m="1" x="3721"/>
        <item m="1" x="3281"/>
        <item m="1" x="4852"/>
        <item m="1" x="4676"/>
        <item m="1" x="3712"/>
        <item m="1" x="940"/>
        <item x="150"/>
        <item m="1" x="1313"/>
        <item m="1" x="873"/>
        <item m="1" x="4418"/>
        <item m="1" x="3273"/>
        <item m="1" x="3555"/>
        <item m="1" x="3511"/>
        <item m="1" x="1563"/>
        <item m="1" x="1537"/>
        <item x="79"/>
        <item m="1" x="4436"/>
        <item m="1" x="775"/>
        <item m="1" x="1334"/>
        <item m="1" x="1335"/>
        <item m="1" x="3897"/>
        <item m="1" x="4904"/>
        <item m="1" x="3258"/>
        <item m="1" x="1270"/>
        <item m="1" x="1539"/>
        <item x="340"/>
        <item m="1" x="749"/>
        <item m="1" x="3551"/>
        <item m="1" x="1156"/>
        <item x="375"/>
        <item m="1" x="4655"/>
        <item m="1" x="760"/>
        <item x="207"/>
        <item m="1" x="3535"/>
        <item m="1" x="4254"/>
        <item m="1" x="3207"/>
        <item m="1" x="2836"/>
        <item m="1" x="3480"/>
        <item m="1" x="2510"/>
        <item m="1" x="877"/>
        <item m="1" x="2225"/>
        <item m="1" x="2240"/>
        <item m="1" x="3444"/>
        <item m="1" x="2897"/>
        <item m="1" x="4712"/>
        <item m="1" x="1627"/>
        <item m="1" x="2368"/>
        <item m="1" x="859"/>
        <item m="1" x="3302"/>
        <item m="1" x="1354"/>
        <item m="1" x="1172"/>
        <item m="1" x="1864"/>
        <item m="1" x="3110"/>
        <item m="1" x="1675"/>
        <item x="64"/>
        <item m="1" x="1141"/>
        <item m="1" x="4948"/>
        <item m="1" x="2005"/>
        <item m="1" x="4234"/>
        <item m="1" x="1659"/>
        <item m="1" x="4774"/>
        <item m="1" x="4439"/>
        <item m="1" x="1223"/>
        <item m="1" x="2903"/>
        <item m="1" x="1346"/>
        <item m="1" x="629"/>
        <item m="1" x="3509"/>
        <item m="1" x="4408"/>
        <item m="1" x="3930"/>
        <item m="1" x="1511"/>
        <item m="1" x="1862"/>
        <item m="1" x="1623"/>
        <item m="1" x="1796"/>
        <item m="1" x="2785"/>
        <item m="1" x="2045"/>
        <item m="1" x="1676"/>
        <item m="1" x="650"/>
        <item m="1" x="1720"/>
        <item m="1" x="4731"/>
        <item m="1" x="2321"/>
        <item m="1" x="4261"/>
        <item m="1" x="4551"/>
        <item m="1" x="1751"/>
        <item m="1" x="4928"/>
        <item x="136"/>
        <item m="1" x="3492"/>
        <item m="1" x="4162"/>
        <item x="413"/>
        <item m="1" x="916"/>
        <item x="17"/>
        <item m="1" x="1970"/>
        <item m="1" x="1983"/>
        <item m="1" x="4043"/>
        <item m="1" x="2868"/>
        <item m="1" x="3194"/>
        <item m="1" x="2503"/>
        <item m="1" x="3710"/>
        <item m="1" x="3288"/>
        <item m="1" x="3495"/>
        <item m="1" x="4827"/>
        <item m="1" x="2570"/>
        <item m="1" x="4237"/>
        <item x="257"/>
        <item m="1" x="3761"/>
        <item m="1" x="4953"/>
        <item m="1" x="3352"/>
        <item m="1" x="3472"/>
        <item m="1" x="3614"/>
        <item x="205"/>
        <item m="1" x="1535"/>
        <item m="1" x="4790"/>
        <item m="1" x="1049"/>
        <item m="1" x="3915"/>
        <item m="1" x="1737"/>
        <item m="1" x="2157"/>
        <item x="307"/>
        <item m="1" x="930"/>
        <item x="78"/>
        <item m="1" x="4912"/>
        <item m="1" x="1013"/>
        <item m="1" x="706"/>
        <item m="1" x="827"/>
        <item m="1" x="4303"/>
        <item m="1" x="4778"/>
        <item m="1" x="4673"/>
        <item m="1" x="2833"/>
        <item m="1" x="1708"/>
        <item m="1" x="4054"/>
        <item m="1" x="1423"/>
        <item m="1" x="4055"/>
        <item x="378"/>
        <item x="551"/>
        <item m="1" x="2976"/>
        <item m="1" x="724"/>
        <item m="1" x="1443"/>
        <item m="1" x="3525"/>
        <item m="1" x="1330"/>
        <item m="1" x="2154"/>
        <item m="1" x="2173"/>
        <item m="1" x="2098"/>
        <item m="1" x="3858"/>
        <item m="1" x="3002"/>
        <item x="13"/>
        <item m="1" x="806"/>
        <item m="1" x="3677"/>
        <item m="1" x="3400"/>
        <item m="1" x="993"/>
        <item m="1" x="1337"/>
        <item m="1" x="2122"/>
        <item m="1" x="2638"/>
        <item m="1" x="2606"/>
        <item m="1" x="1403"/>
        <item x="517"/>
        <item m="1" x="2089"/>
        <item m="1" x="3452"/>
        <item m="1" x="811"/>
        <item m="1" x="1052"/>
        <item m="1" x="1170"/>
        <item m="1" x="3617"/>
        <item m="1" x="3969"/>
        <item m="1" x="3201"/>
        <item x="212"/>
        <item m="1" x="4164"/>
        <item m="1" x="631"/>
        <item m="1" x="3518"/>
        <item m="1" x="1728"/>
        <item m="1" x="1846"/>
        <item m="1" x="850"/>
        <item m="1" x="1568"/>
        <item m="1" x="1397"/>
        <item m="1" x="876"/>
        <item m="1" x="4719"/>
        <item m="1" x="1029"/>
        <item m="1" x="1119"/>
        <item m="1" x="2522"/>
        <item m="1" x="2776"/>
        <item m="1" x="1611"/>
        <item m="1" x="3757"/>
        <item m="1" x="634"/>
        <item m="1" x="4858"/>
        <item m="1" x="4446"/>
        <item m="1" x="705"/>
        <item m="1" x="2426"/>
        <item m="1" x="912"/>
        <item m="1" x="1094"/>
        <item m="1" x="3869"/>
        <item m="1" x="1153"/>
        <item m="1" x="3081"/>
        <item m="1" x="4524"/>
        <item t="default"/>
      </items>
      <autoSortScope>
        <pivotArea dataOnly="0" outline="0" fieldPosition="0">
          <references count="1">
            <reference field="4294967294" count="1" selected="0">
              <x v="2"/>
            </reference>
          </references>
        </pivotArea>
      </autoSortScope>
    </pivotField>
    <pivotField showAll="0"/>
    <pivotField showAll="0"/>
    <pivotField dataField="1" numFmtId="165" showAll="0"/>
    <pivotField numFmtId="2" showAll="0"/>
    <pivotField showAll="0"/>
    <pivotField dataField="1"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12">
    <i>
      <x v="4514"/>
    </i>
    <i>
      <x v="1331"/>
    </i>
    <i>
      <x v="3300"/>
    </i>
    <i>
      <x v="508"/>
    </i>
    <i>
      <x v="2187"/>
    </i>
    <i>
      <x v="4205"/>
    </i>
    <i>
      <x v="1383"/>
    </i>
    <i>
      <x v="128"/>
    </i>
    <i>
      <x v="3356"/>
    </i>
    <i>
      <x v="3227"/>
    </i>
    <i>
      <x v="3499"/>
    </i>
    <i t="grand">
      <x/>
    </i>
  </rowItems>
  <colFields count="1">
    <field x="-2"/>
  </colFields>
  <colItems count="4">
    <i>
      <x/>
    </i>
    <i i="1">
      <x v="1"/>
    </i>
    <i i="2">
      <x v="2"/>
    </i>
    <i i="3">
      <x v="3"/>
    </i>
  </colItems>
  <dataFields count="4">
    <dataField name="Sum of Revenue" fld="4" baseField="0" baseItem="0" numFmtId="165"/>
    <dataField name="Sum of Workers" fld="7" baseField="0" baseItem="0"/>
    <dataField name="Sum of delta workers" fld="13" baseField="0" baseItem="0"/>
    <dataField name="Sum of Revenue per Worker" fld="14" baseField="0" baseItem="0"/>
  </dataFields>
  <formats count="1">
    <format dxfId="0">
      <pivotArea dataOnly="0" outline="0" fieldPosition="0">
        <references count="1">
          <reference field="4294967294" count="1">
            <x v="3"/>
          </reference>
        </references>
      </pivotArea>
    </format>
  </formats>
  <pivotTableStyleInfo name="PivotStyleLight16" showRowHeaders="1" showColHeaders="1" showRowStripes="0" showColStripes="0" showLastColumn="1"/>
  <filters count="1">
    <filter fld="1" type="count" evalOrder="-1" id="11" iMeasureFld="2">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E43D91-EFC5-42F8-BCE2-F9D56734EC7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12" firstHeaderRow="0" firstDataRow="1" firstDataCol="1"/>
  <pivotFields count="15">
    <pivotField showAll="0"/>
    <pivotField axis="axisRow" showAll="0" measureFilter="1" sortType="descending">
      <items count="4989">
        <item m="1" x="3682"/>
        <item m="1" x="4898"/>
        <item m="1" x="3650"/>
        <item m="1" x="735"/>
        <item m="1" x="4578"/>
        <item m="1" x="1366"/>
        <item x="68"/>
        <item m="1" x="1996"/>
        <item m="1" x="702"/>
        <item m="1" x="1669"/>
        <item m="1" x="4572"/>
        <item m="1" x="1256"/>
        <item x="181"/>
        <item m="1" x="3490"/>
        <item m="1" x="1278"/>
        <item m="1" x="4286"/>
        <item m="1" x="3935"/>
        <item m="1" x="4210"/>
        <item m="1" x="3941"/>
        <item m="1" x="1835"/>
        <item m="1" x="1004"/>
        <item m="1" x="4382"/>
        <item m="1" x="4918"/>
        <item m="1" x="1489"/>
        <item m="1" x="2100"/>
        <item m="1" x="4798"/>
        <item m="1" x="1318"/>
        <item m="1" x="4245"/>
        <item m="1" x="3884"/>
        <item m="1" x="971"/>
        <item m="1" x="3747"/>
        <item m="1" x="1142"/>
        <item m="1" x="4902"/>
        <item x="312"/>
        <item m="1" x="3004"/>
        <item m="1" x="3705"/>
        <item m="1" x="1797"/>
        <item m="1" x="1660"/>
        <item m="1" x="981"/>
        <item m="1" x="1436"/>
        <item m="1" x="4715"/>
        <item m="1" x="4533"/>
        <item m="1" x="3507"/>
        <item m="1" x="4704"/>
        <item m="1" x="4149"/>
        <item m="1" x="3532"/>
        <item m="1" x="4870"/>
        <item m="1" x="3697"/>
        <item x="69"/>
        <item m="1" x="3601"/>
        <item x="115"/>
        <item m="1" x="3591"/>
        <item m="1" x="1619"/>
        <item m="1" x="1684"/>
        <item m="1" x="632"/>
        <item m="1" x="1730"/>
        <item m="1" x="4796"/>
        <item m="1" x="1284"/>
        <item m="1" x="3695"/>
        <item m="1" x="3504"/>
        <item m="1" x="3736"/>
        <item m="1" x="4478"/>
        <item m="1" x="2203"/>
        <item m="1" x="3626"/>
        <item m="1" x="2546"/>
        <item m="1" x="2625"/>
        <item m="1" x="4522"/>
        <item m="1" x="1591"/>
        <item m="1" x="2436"/>
        <item m="1" x="3170"/>
        <item m="1" x="2312"/>
        <item m="1" x="1045"/>
        <item m="1" x="2711"/>
        <item m="1" x="3483"/>
        <item m="1" x="4546"/>
        <item m="1" x="4803"/>
        <item m="1" x="3822"/>
        <item m="1" x="3230"/>
        <item m="1" x="2969"/>
        <item m="1" x="3600"/>
        <item m="1" x="2386"/>
        <item m="1" x="2822"/>
        <item x="451"/>
        <item m="1" x="2199"/>
        <item m="1" x="2383"/>
        <item m="1" x="2153"/>
        <item m="1" x="3952"/>
        <item x="493"/>
        <item m="1" x="1634"/>
        <item m="1" x="4139"/>
        <item m="1" x="2090"/>
        <item m="1" x="3819"/>
        <item m="1" x="4641"/>
        <item m="1" x="3108"/>
        <item m="1" x="3995"/>
        <item m="1" x="4327"/>
        <item m="1" x="4698"/>
        <item m="1" x="4933"/>
        <item m="1" x="4232"/>
        <item m="1" x="1736"/>
        <item m="1" x="2502"/>
        <item m="1" x="2945"/>
        <item m="1" x="3322"/>
        <item m="1" x="3724"/>
        <item m="1" x="4083"/>
        <item m="1" x="1752"/>
        <item m="1" x="2306"/>
        <item m="1" x="694"/>
        <item m="1" x="2108"/>
        <item m="1" x="1417"/>
        <item m="1" x="4826"/>
        <item m="1" x="2834"/>
        <item m="1" x="4913"/>
        <item m="1" x="4735"/>
        <item m="1" x="3090"/>
        <item m="1" x="3115"/>
        <item m="1" x="718"/>
        <item m="1" x="4028"/>
        <item m="1" x="2390"/>
        <item x="167"/>
        <item m="1" x="2310"/>
        <item m="1" x="693"/>
        <item m="1" x="2254"/>
        <item m="1" x="3145"/>
        <item m="1" x="3978"/>
        <item m="1" x="783"/>
        <item m="1" x="4945"/>
        <item m="1" x="1844"/>
        <item x="359"/>
        <item m="1" x="4433"/>
        <item x="509"/>
        <item m="1" x="1424"/>
        <item m="1" x="2296"/>
        <item m="1" x="1893"/>
        <item m="1" x="3211"/>
        <item m="1" x="2552"/>
        <item m="1" x="3864"/>
        <item m="1" x="1851"/>
        <item m="1" x="1434"/>
        <item x="416"/>
        <item m="1" x="3659"/>
        <item m="1" x="1378"/>
        <item m="1" x="4462"/>
        <item m="1" x="983"/>
        <item m="1" x="4581"/>
        <item m="1" x="2920"/>
        <item m="1" x="2586"/>
        <item x="403"/>
        <item m="1" x="3066"/>
        <item m="1" x="4147"/>
        <item m="1" x="4048"/>
        <item m="1" x="4285"/>
        <item m="1" x="1380"/>
        <item m="1" x="1601"/>
        <item m="1" x="4969"/>
        <item m="1" x="1356"/>
        <item m="1" x="2447"/>
        <item m="1" x="4689"/>
        <item m="1" x="1713"/>
        <item x="423"/>
        <item m="1" x="4732"/>
        <item x="279"/>
        <item m="1" x="614"/>
        <item x="198"/>
        <item m="1" x="2663"/>
        <item m="1" x="4044"/>
        <item m="1" x="4494"/>
        <item m="1" x="1524"/>
        <item m="1" x="2417"/>
        <item m="1" x="3484"/>
        <item m="1" x="1369"/>
        <item m="1" x="2734"/>
        <item m="1" x="3412"/>
        <item m="1" x="1197"/>
        <item m="1" x="3062"/>
        <item m="1" x="2463"/>
        <item m="1" x="1800"/>
        <item m="1" x="2639"/>
        <item m="1" x="2477"/>
        <item m="1" x="1529"/>
        <item m="1" x="1458"/>
        <item m="1" x="1083"/>
        <item m="1" x="1242"/>
        <item m="1" x="2128"/>
        <item m="1" x="2369"/>
        <item m="1" x="4899"/>
        <item m="1" x="4435"/>
        <item m="1" x="2981"/>
        <item m="1" x="3630"/>
        <item m="1" x="2577"/>
        <item m="1" x="2326"/>
        <item m="1" x="1873"/>
        <item m="1" x="646"/>
        <item m="1" x="4163"/>
        <item m="1" x="1078"/>
        <item m="1" x="4838"/>
        <item m="1" x="3948"/>
        <item m="1" x="2341"/>
        <item m="1" x="4392"/>
        <item m="1" x="2242"/>
        <item x="152"/>
        <item m="1" x="4198"/>
        <item m="1" x="3268"/>
        <item m="1" x="2799"/>
        <item m="1" x="628"/>
        <item m="1" x="1279"/>
        <item x="539"/>
        <item m="1" x="3133"/>
        <item x="283"/>
        <item x="446"/>
        <item m="1" x="2410"/>
        <item m="1" x="1338"/>
        <item m="1" x="1891"/>
        <item m="1" x="3003"/>
        <item m="1" x="3861"/>
        <item m="1" x="1167"/>
        <item x="298"/>
        <item x="467"/>
        <item m="1" x="1646"/>
        <item m="1" x="2714"/>
        <item m="1" x="4052"/>
        <item m="1" x="2474"/>
        <item m="1" x="3282"/>
        <item m="1" x="2021"/>
        <item m="1" x="3144"/>
        <item m="1" x="3208"/>
        <item m="1" x="2746"/>
        <item m="1" x="4531"/>
        <item m="1" x="4878"/>
        <item x="39"/>
        <item m="1" x="3023"/>
        <item m="1" x="978"/>
        <item m="1" x="4956"/>
        <item m="1" x="3244"/>
        <item m="1" x="2006"/>
        <item m="1" x="4280"/>
        <item m="1" x="4067"/>
        <item m="1" x="3054"/>
        <item x="575"/>
        <item m="1" x="1935"/>
        <item m="1" x="3569"/>
        <item x="119"/>
        <item m="1" x="3440"/>
        <item m="1" x="3741"/>
        <item x="142"/>
        <item m="1" x="2904"/>
        <item m="1" x="2958"/>
        <item m="1" x="1758"/>
        <item x="576"/>
        <item m="1" x="3876"/>
        <item m="1" x="3668"/>
        <item m="1" x="3827"/>
        <item m="1" x="1802"/>
        <item m="1" x="3755"/>
        <item m="1" x="4226"/>
        <item m="1" x="3219"/>
        <item m="1" x="2797"/>
        <item x="292"/>
        <item m="1" x="1042"/>
        <item m="1" x="3613"/>
        <item m="1" x="2464"/>
        <item m="1" x="4501"/>
        <item x="96"/>
        <item m="1" x="3368"/>
        <item m="1" x="897"/>
        <item m="1" x="4880"/>
        <item m="1" x="1725"/>
        <item m="1" x="2899"/>
        <item m="1" x="4661"/>
        <item m="1" x="977"/>
        <item m="1" x="4947"/>
        <item m="1" x="4832"/>
        <item m="1" x="4979"/>
        <item m="1" x="4958"/>
        <item m="1" x="3411"/>
        <item m="1" x="4620"/>
        <item m="1" x="2088"/>
        <item m="1" x="4583"/>
        <item m="1" x="771"/>
        <item m="1" x="2877"/>
        <item m="1" x="818"/>
        <item m="1" x="3390"/>
        <item x="27"/>
        <item m="1" x="2318"/>
        <item m="1" x="1420"/>
        <item m="1" x="2406"/>
        <item m="1" x="1496"/>
        <item m="1" x="1192"/>
        <item m="1" x="3337"/>
        <item m="1" x="1236"/>
        <item m="1" x="3592"/>
        <item m="1" x="2498"/>
        <item m="1" x="3906"/>
        <item m="1" x="3974"/>
        <item m="1" x="4180"/>
        <item m="1" x="757"/>
        <item x="15"/>
        <item m="1" x="891"/>
        <item m="1" x="2514"/>
        <item m="1" x="1441"/>
        <item m="1" x="4787"/>
        <item x="459"/>
        <item m="1" x="4556"/>
        <item x="401"/>
        <item m="1" x="4664"/>
        <item m="1" x="4008"/>
        <item m="1" x="2399"/>
        <item m="1" x="3428"/>
        <item x="582"/>
        <item x="587"/>
        <item m="1" x="4694"/>
        <item m="1" x="2587"/>
        <item m="1" x="3862"/>
        <item m="1" x="2434"/>
        <item m="1" x="973"/>
        <item m="1" x="1102"/>
        <item m="1" x="1478"/>
        <item m="1" x="664"/>
        <item m="1" x="4187"/>
        <item m="1" x="2102"/>
        <item m="1" x="3657"/>
        <item m="1" x="4576"/>
        <item m="1" x="1823"/>
        <item m="1" x="3892"/>
        <item m="1" x="2979"/>
        <item x="398"/>
        <item m="1" x="3389"/>
        <item m="1" x="847"/>
        <item m="1" x="4220"/>
        <item m="1" x="3598"/>
        <item m="1" x="1019"/>
        <item m="1" x="4098"/>
        <item m="1" x="4729"/>
        <item m="1" x="1850"/>
        <item m="1" x="2775"/>
        <item m="1" x="4273"/>
        <item m="1" x="2770"/>
        <item m="1" x="3335"/>
        <item m="1" x="2719"/>
        <item m="1" x="2567"/>
        <item m="1" x="729"/>
        <item m="1" x="1008"/>
        <item m="1" x="2801"/>
        <item m="1" x="2019"/>
        <item m="1" x="3077"/>
        <item m="1" x="3314"/>
        <item m="1" x="3000"/>
        <item m="1" x="3647"/>
        <item m="1" x="1283"/>
        <item m="1" x="2828"/>
        <item x="148"/>
        <item m="1" x="1271"/>
        <item m="1" x="3199"/>
        <item m="1" x="3965"/>
        <item m="1" x="3303"/>
        <item m="1" x="3606"/>
        <item m="1" x="4113"/>
        <item m="1" x="2487"/>
        <item m="1" x="3294"/>
        <item m="1" x="3284"/>
        <item x="331"/>
        <item m="1" x="1560"/>
        <item m="1" x="4288"/>
        <item m="1" x="680"/>
        <item m="1" x="4635"/>
        <item m="1" x="4875"/>
        <item m="1" x="3228"/>
        <item m="1" x="2308"/>
        <item m="1" x="1766"/>
        <item m="1" x="3628"/>
        <item m="1" x="2387"/>
        <item m="1" x="4214"/>
        <item x="460"/>
        <item m="1" x="2202"/>
        <item m="1" x="4811"/>
        <item x="411"/>
        <item x="143"/>
        <item m="1" x="4723"/>
        <item m="1" x="1691"/>
        <item m="1" x="4585"/>
        <item m="1" x="2234"/>
        <item m="1" x="2211"/>
        <item m="1" x="1349"/>
        <item m="1" x="4535"/>
        <item m="1" x="1392"/>
        <item m="1" x="4302"/>
        <item x="563"/>
        <item m="1" x="3347"/>
        <item m="1" x="3318"/>
        <item m="1" x="2730"/>
        <item m="1" x="3177"/>
        <item m="1" x="2533"/>
        <item m="1" x="3320"/>
        <item x="82"/>
        <item m="1" x="1817"/>
        <item m="1" x="3255"/>
        <item x="66"/>
        <item m="1" x="1384"/>
        <item x="434"/>
        <item m="1" x="3222"/>
        <item m="1" x="4557"/>
        <item m="1" x="4483"/>
        <item m="1" x="4701"/>
        <item m="1" x="2379"/>
        <item m="1" x="2356"/>
        <item m="1" x="4034"/>
        <item m="1" x="4129"/>
        <item m="1" x="991"/>
        <item m="1" x="4561"/>
        <item m="1" x="2540"/>
        <item m="1" x="4203"/>
        <item m="1" x="3198"/>
        <item m="1" x="3764"/>
        <item m="1" x="1486"/>
        <item m="1" x="2415"/>
        <item m="1" x="1488"/>
        <item m="1" x="3687"/>
        <item m="1" x="4936"/>
        <item m="1" x="968"/>
        <item x="414"/>
        <item m="1" x="4903"/>
        <item m="1" x="1573"/>
        <item m="1" x="1336"/>
        <item m="1" x="682"/>
        <item m="1" x="2144"/>
        <item m="1" x="3844"/>
        <item m="1" x="2060"/>
        <item x="112"/>
        <item m="1" x="4240"/>
        <item m="1" x="3802"/>
        <item m="1" x="2170"/>
        <item m="1" x="3921"/>
        <item m="1" x="1077"/>
        <item m="1" x="1520"/>
        <item m="1" x="1460"/>
        <item m="1" x="3076"/>
        <item m="1" x="3241"/>
        <item m="1" x="1710"/>
        <item m="1" x="1092"/>
        <item m="1" x="1858"/>
        <item m="1" x="2641"/>
        <item x="227"/>
        <item m="1" x="2943"/>
        <item m="1" x="4910"/>
        <item m="1" x="3233"/>
        <item m="1" x="4490"/>
        <item m="1" x="2244"/>
        <item m="1" x="3231"/>
        <item m="1" x="738"/>
        <item m="1" x="3636"/>
        <item m="1" x="4560"/>
        <item m="1" x="4605"/>
        <item m="1" x="1139"/>
        <item x="24"/>
        <item m="1" x="1625"/>
        <item m="1" x="2486"/>
        <item m="1" x="769"/>
        <item m="1" x="2954"/>
        <item m="1" x="1082"/>
        <item x="200"/>
        <item m="1" x="3572"/>
        <item m="1" x="3086"/>
        <item m="1" x="1117"/>
        <item m="1" x="1372"/>
        <item x="431"/>
        <item m="1" x="2290"/>
        <item x="597"/>
        <item m="1" x="4495"/>
        <item m="1" x="4484"/>
        <item x="352"/>
        <item m="1" x="875"/>
        <item m="1" x="2692"/>
        <item m="1" x="1545"/>
        <item m="1" x="4194"/>
        <item x="108"/>
        <item m="1" x="1483"/>
        <item m="1" x="1985"/>
        <item m="1" x="2031"/>
        <item m="1" x="3235"/>
        <item m="1" x="3843"/>
        <item m="1" x="1816"/>
        <item x="426"/>
        <item x="559"/>
        <item m="1" x="1806"/>
        <item m="1" x="3385"/>
        <item m="1" x="4178"/>
        <item x="120"/>
        <item m="1" x="3171"/>
        <item m="1" x="4938"/>
        <item m="1" x="1889"/>
        <item m="1" x="1290"/>
        <item m="1" x="3777"/>
        <item m="1" x="2791"/>
        <item m="1" x="1622"/>
        <item m="1" x="966"/>
        <item m="1" x="4808"/>
        <item m="1" x="4292"/>
        <item m="1" x="2584"/>
        <item m="1" x="1118"/>
        <item m="1" x="4038"/>
        <item m="1" x="1847"/>
        <item m="1" x="865"/>
        <item x="310"/>
        <item m="1" x="3562"/>
        <item m="1" x="4480"/>
        <item m="1" x="4835"/>
        <item m="1" x="1210"/>
        <item m="1" x="2380"/>
        <item x="254"/>
        <item m="1" x="3029"/>
        <item m="1" x="3032"/>
        <item x="522"/>
        <item x="550"/>
        <item m="1" x="2623"/>
        <item m="1" x="2846"/>
        <item m="1" x="2673"/>
        <item m="1" x="3686"/>
        <item x="439"/>
        <item m="1" x="2482"/>
        <item m="1" x="2693"/>
        <item m="1" x="1854"/>
        <item m="1" x="676"/>
        <item m="1" x="4118"/>
        <item m="1" x="802"/>
        <item m="1" x="3051"/>
        <item x="6"/>
        <item m="1" x="2101"/>
        <item m="1" x="813"/>
        <item m="1" x="1093"/>
        <item x="525"/>
        <item m="1" x="1143"/>
        <item m="1" x="808"/>
        <item m="1" x="4281"/>
        <item m="1" x="3889"/>
        <item m="1" x="1597"/>
        <item m="1" x="2245"/>
        <item m="1" x="2653"/>
        <item m="1" x="1386"/>
        <item m="1" x="3252"/>
        <item m="1" x="988"/>
        <item m="1" x="933"/>
        <item x="45"/>
        <item m="1" x="1165"/>
        <item m="1" x="2518"/>
        <item m="1" x="2537"/>
        <item m="1" x="2841"/>
        <item m="1" x="2229"/>
        <item m="1" x="1958"/>
        <item m="1" x="4728"/>
        <item m="1" x="1218"/>
        <item m="1" x="4670"/>
        <item m="1" x="3192"/>
        <item x="29"/>
        <item m="1" x="1871"/>
        <item x="303"/>
        <item m="1" x="2050"/>
        <item m="1" x="1945"/>
        <item m="1" x="4188"/>
        <item m="1" x="2191"/>
        <item m="1" x="4497"/>
        <item m="1" x="2702"/>
        <item m="1" x="1575"/>
        <item m="1" x="2814"/>
        <item m="1" x="3855"/>
        <item m="1" x="1065"/>
        <item x="316"/>
        <item m="1" x="963"/>
        <item m="1" x="2642"/>
        <item m="1" x="2854"/>
        <item m="1" x="1015"/>
        <item m="1" x="4040"/>
        <item m="1" x="1744"/>
        <item m="1" x="3726"/>
        <item m="1" x="3709"/>
        <item x="339"/>
        <item m="1" x="1875"/>
        <item m="1" x="4420"/>
        <item m="1" x="2010"/>
        <item m="1" x="1637"/>
        <item m="1" x="1148"/>
        <item m="1" x="1343"/>
        <item m="1" x="4108"/>
        <item m="1" x="1584"/>
        <item m="1" x="3774"/>
        <item m="1" x="2043"/>
        <item m="1" x="1268"/>
        <item m="1" x="2297"/>
        <item m="1" x="3459"/>
        <item m="1" x="864"/>
        <item m="1" x="3456"/>
        <item m="1" x="1362"/>
        <item m="1" x="3250"/>
        <item m="1" x="1967"/>
        <item m="1" x="1804"/>
        <item m="1" x="2722"/>
        <item m="1" x="3312"/>
        <item m="1" x="4597"/>
        <item m="1" x="1470"/>
        <item m="1" x="2886"/>
        <item m="1" x="4213"/>
        <item m="1" x="2531"/>
        <item m="1" x="3437"/>
        <item m="1" x="4831"/>
        <item m="1" x="4515"/>
        <item m="1" x="1203"/>
        <item m="1" x="1879"/>
        <item m="1" x="4724"/>
        <item m="1" x="4193"/>
        <item x="599"/>
        <item m="1" x="1515"/>
        <item m="1" x="3903"/>
        <item m="1" x="821"/>
        <item m="1" x="1432"/>
        <item m="1" x="2655"/>
        <item m="1" x="4318"/>
        <item m="1" x="792"/>
        <item m="1" x="3958"/>
        <item x="507"/>
        <item x="328"/>
        <item m="1" x="1514"/>
        <item m="1" x="4406"/>
        <item m="1" x="2735"/>
        <item m="1" x="3528"/>
        <item m="1" x="1140"/>
        <item m="1" x="2142"/>
        <item m="1" x="4917"/>
        <item m="1" x="742"/>
        <item m="1" x="893"/>
        <item m="1" x="3128"/>
        <item m="1" x="3703"/>
        <item m="1" x="4105"/>
        <item m="1" x="3261"/>
        <item x="84"/>
        <item m="1" x="1276"/>
        <item x="583"/>
        <item m="1" x="4395"/>
        <item x="256"/>
        <item m="1" x="1982"/>
        <item m="1" x="2511"/>
        <item m="1" x="4135"/>
        <item m="1" x="1138"/>
        <item m="1" x="828"/>
        <item m="1" x="1463"/>
        <item m="1" x="1869"/>
        <item m="1" x="1072"/>
        <item x="130"/>
        <item m="1" x="1845"/>
        <item m="1" x="4465"/>
        <item m="1" x="4313"/>
        <item m="1" x="943"/>
        <item x="485"/>
        <item m="1" x="4518"/>
        <item m="1" x="643"/>
        <item m="1" x="2749"/>
        <item m="1" x="2336"/>
        <item m="1" x="4242"/>
        <item m="1" x="2198"/>
        <item m="1" x="4208"/>
        <item m="1" x="826"/>
        <item m="1" x="4877"/>
        <item m="1" x="3269"/>
        <item m="1" x="2330"/>
        <item m="1" x="2935"/>
        <item m="1" x="846"/>
        <item m="1" x="2685"/>
        <item m="1" x="1786"/>
        <item x="164"/>
        <item m="1" x="996"/>
        <item m="1" x="845"/>
        <item x="480"/>
        <item m="1" x="2209"/>
        <item x="210"/>
        <item m="1" x="1374"/>
        <item m="1" x="1894"/>
        <item x="421"/>
        <item m="1" x="1479"/>
        <item m="1" x="2885"/>
        <item m="1" x="3989"/>
        <item x="400"/>
        <item m="1" x="626"/>
        <item m="1" x="2652"/>
        <item m="1" x="3545"/>
        <item m="1" x="4752"/>
        <item m="1" x="641"/>
        <item m="1" x="4469"/>
        <item m="1" x="2792"/>
        <item m="1" x="1561"/>
        <item m="1" x="2802"/>
        <item x="374"/>
        <item m="1" x="2348"/>
        <item x="588"/>
        <item m="1" x="1721"/>
        <item m="1" x="3417"/>
        <item m="1" x="784"/>
        <item m="1" x="2215"/>
        <item m="1" x="3343"/>
        <item m="1" x="1920"/>
        <item m="1" x="2329"/>
        <item m="1" x="4114"/>
        <item m="1" x="1400"/>
        <item m="1" x="1001"/>
        <item m="1" x="4671"/>
        <item x="577"/>
        <item m="1" x="1060"/>
        <item m="1" x="4582"/>
        <item m="1" x="4610"/>
        <item x="75"/>
        <item x="190"/>
        <item m="1" x="2145"/>
        <item m="1" x="4688"/>
        <item m="1" x="3246"/>
        <item x="420"/>
        <item x="249"/>
        <item m="1" x="2138"/>
        <item m="1" x="4359"/>
        <item m="1" x="4017"/>
        <item m="1" x="2132"/>
        <item x="154"/>
        <item m="1" x="3053"/>
        <item m="1" x="4274"/>
        <item m="1" x="2382"/>
        <item m="1" x="928"/>
        <item m="1" x="1717"/>
        <item m="1" x="1300"/>
        <item m="1" x="732"/>
        <item m="1" x="3305"/>
        <item m="1" x="2769"/>
        <item m="1" x="2472"/>
        <item x="224"/>
        <item m="1" x="2640"/>
        <item m="1" x="4029"/>
        <item m="1" x="1934"/>
        <item m="1" x="1565"/>
        <item m="1" x="2873"/>
        <item m="1" x="1955"/>
        <item m="1" x="4754"/>
        <item m="1" x="2839"/>
        <item m="1" x="2137"/>
        <item x="443"/>
        <item m="1" x="3225"/>
        <item m="1" x="3289"/>
        <item m="1" x="3804"/>
        <item m="1" x="3227"/>
        <item m="1" x="1124"/>
        <item m="1" x="2512"/>
        <item m="1" x="3124"/>
        <item m="1" x="3243"/>
        <item m="1" x="921"/>
        <item m="1" x="3945"/>
        <item m="1" x="4335"/>
        <item m="1" x="3010"/>
        <item m="1" x="3065"/>
        <item m="1" x="3340"/>
        <item m="1" x="627"/>
        <item m="1" x="4672"/>
        <item m="1" x="2592"/>
        <item m="1" x="3938"/>
        <item m="1" x="2947"/>
        <item x="106"/>
        <item m="1" x="4137"/>
        <item m="1" x="674"/>
        <item m="1" x="1239"/>
        <item m="1" x="4595"/>
        <item m="1" x="3939"/>
        <item m="1" x="2419"/>
        <item m="1" x="4235"/>
        <item m="1" x="3533"/>
        <item m="1" x="3160"/>
        <item m="1" x="4027"/>
        <item m="1" x="3441"/>
        <item m="1" x="2389"/>
        <item m="1" x="2197"/>
        <item m="1" x="1892"/>
        <item m="1" x="2601"/>
        <item m="1" x="2837"/>
        <item m="1" x="2893"/>
        <item m="1" x="4100"/>
        <item m="1" x="1340"/>
        <item m="1" x="1635"/>
        <item m="1" x="1079"/>
        <item m="1" x="1323"/>
        <item m="1" x="1698"/>
        <item m="1" x="3111"/>
        <item m="1" x="2723"/>
        <item m="1" x="1628"/>
        <item m="1" x="3543"/>
        <item x="174"/>
        <item m="1" x="1070"/>
        <item m="1" x="3873"/>
        <item m="1" x="4377"/>
        <item m="1" x="4059"/>
        <item x="5"/>
        <item m="1" x="700"/>
        <item m="1" x="2843"/>
        <item m="1" x="1928"/>
        <item m="1" x="2513"/>
        <item m="1" x="4792"/>
        <item m="1" x="1347"/>
        <item m="1" x="2277"/>
        <item m="1" x="2035"/>
        <item x="144"/>
        <item m="1" x="3846"/>
        <item m="1" x="2575"/>
        <item m="1" x="4182"/>
        <item m="1" x="1387"/>
        <item x="91"/>
        <item m="1" x="2610"/>
        <item m="1" x="4341"/>
        <item m="1" x="2026"/>
        <item m="1" x="4169"/>
        <item m="1" x="688"/>
        <item m="1" x="2179"/>
        <item m="1" x="3854"/>
        <item m="1" x="2325"/>
        <item m="1" x="3702"/>
        <item m="1" x="3607"/>
        <item m="1" x="908"/>
        <item m="1" x="4685"/>
        <item m="1" x="2968"/>
        <item m="1" x="1780"/>
        <item m="1" x="2553"/>
        <item m="1" x="4764"/>
        <item m="1" x="2459"/>
        <item m="1" x="4339"/>
        <item x="433"/>
        <item m="1" x="1965"/>
        <item m="1" x="603"/>
        <item m="1" x="4666"/>
        <item m="1" x="4663"/>
        <item m="1" x="848"/>
        <item m="1" x="1235"/>
        <item m="1" x="3450"/>
        <item m="1" x="3594"/>
        <item x="349"/>
        <item m="1" x="2267"/>
        <item m="1" x="4813"/>
        <item m="1" x="3810"/>
        <item m="1" x="1160"/>
        <item m="1" x="3296"/>
        <item m="1" x="2103"/>
        <item m="1" x="1972"/>
        <item m="1" x="4001"/>
        <item x="2"/>
        <item x="505"/>
        <item x="132"/>
        <item m="1" x="4046"/>
        <item x="131"/>
        <item m="1" x="1442"/>
        <item m="1" x="2811"/>
        <item m="1" x="1233"/>
        <item m="1" x="1902"/>
        <item m="1" x="2025"/>
        <item m="1" x="902"/>
        <item m="1" x="4138"/>
        <item m="1" x="4941"/>
        <item m="1" x="3185"/>
        <item m="1" x="4781"/>
        <item m="1" x="1034"/>
        <item m="1" x="2251"/>
        <item m="1" x="3381"/>
        <item m="1" x="3734"/>
        <item m="1" x="1116"/>
        <item m="1" x="3651"/>
        <item m="1" x="4756"/>
        <item m="1" x="1295"/>
        <item m="1" x="2111"/>
        <item m="1" x="2439"/>
        <item m="1" x="870"/>
        <item m="1" x="816"/>
        <item m="1" x="3632"/>
        <item x="461"/>
        <item m="1" x="922"/>
        <item m="1" x="2602"/>
        <item m="1" x="2057"/>
        <item m="1" x="1017"/>
        <item m="1" x="3742"/>
        <item x="327"/>
        <item m="1" x="866"/>
        <item m="1" x="1081"/>
        <item m="1" x="960"/>
        <item m="1" x="2499"/>
        <item m="1" x="3539"/>
        <item m="1" x="4269"/>
        <item m="1" x="3895"/>
        <item m="1" x="3565"/>
        <item x="277"/>
        <item m="1" x="1663"/>
        <item m="1" x="3693"/>
        <item m="1" x="3354"/>
        <item m="1" x="2993"/>
        <item m="1" x="936"/>
        <item m="1" x="1018"/>
        <item m="1" x="3091"/>
        <item m="1" x="1477"/>
        <item m="1" x="2616"/>
        <item m="1" x="4096"/>
        <item m="1" x="4109"/>
        <item m="1" x="2079"/>
        <item m="1" x="2827"/>
        <item x="129"/>
        <item m="1" x="605"/>
        <item m="1" x="2745"/>
        <item x="61"/>
        <item m="1" x="984"/>
        <item m="1" x="4824"/>
        <item m="1" x="3058"/>
        <item m="1" x="692"/>
        <item x="251"/>
        <item m="1" x="2860"/>
        <item m="1" x="990"/>
        <item x="111"/>
        <item m="1" x="3151"/>
        <item m="1" x="2565"/>
        <item m="1" x="616"/>
        <item m="1" x="2773"/>
        <item m="1" x="755"/>
        <item m="1" x="2167"/>
        <item m="1" x="3078"/>
        <item m="1" x="1333"/>
        <item m="1" x="1570"/>
        <item m="1" x="1469"/>
        <item x="88"/>
        <item m="1" x="3063"/>
        <item x="206"/>
        <item m="1" x="4085"/>
        <item m="1" x="3975"/>
        <item x="65"/>
        <item m="1" x="4897"/>
        <item m="1" x="4183"/>
        <item m="1" x="4896"/>
        <item m="1" x="3027"/>
        <item m="1" x="4328"/>
        <item m="1" x="4784"/>
        <item m="1" x="4019"/>
        <item m="1" x="4761"/>
        <item m="1" x="2732"/>
        <item m="1" x="3147"/>
        <item m="1" x="4438"/>
        <item m="1" x="3148"/>
        <item m="1" x="4914"/>
        <item m="1" x="3292"/>
        <item m="1" x="3505"/>
        <item x="429"/>
        <item m="1" x="4378"/>
        <item m="1" x="2830"/>
        <item m="1" x="3767"/>
        <item m="1" x="855"/>
        <item m="1" x="1898"/>
        <item m="1" x="2545"/>
        <item m="1" x="3684"/>
        <item m="1" x="4957"/>
        <item m="1" x="2268"/>
        <item m="1" x="1150"/>
        <item m="1" x="4063"/>
        <item m="1" x="2796"/>
        <item x="438"/>
        <item m="1" x="4654"/>
        <item m="1" x="2301"/>
        <item m="1" x="3648"/>
        <item m="1" x="909"/>
        <item m="1" x="3950"/>
        <item m="1" x="3422"/>
        <item x="237"/>
        <item m="1" x="1390"/>
        <item m="1" x="3218"/>
        <item m="1" x="4091"/>
        <item m="1" x="1174"/>
        <item x="321"/>
        <item m="1" x="1000"/>
        <item x="593"/>
        <item m="1" x="3324"/>
        <item m="1" x="2176"/>
        <item m="1" x="2273"/>
        <item m="1" x="793"/>
        <item m="1" x="2022"/>
        <item m="1" x="1590"/>
        <item m="1" x="4817"/>
        <item m="1" x="772"/>
        <item m="1" x="2535"/>
        <item m="1" x="3655"/>
        <item m="1" x="754"/>
        <item x="228"/>
        <item m="1" x="3879"/>
        <item m="1" x="636"/>
        <item m="1" x="3365"/>
        <item m="1" x="2151"/>
        <item m="1" x="3409"/>
        <item m="1" x="1951"/>
        <item m="1" x="4389"/>
        <item m="1" x="3701"/>
        <item m="1" x="3137"/>
        <item m="1" x="2200"/>
        <item m="1" x="3904"/>
        <item m="1" x="4277"/>
        <item m="1" x="1431"/>
        <item m="1" x="951"/>
        <item m="1" x="2457"/>
        <item m="1" x="2805"/>
        <item m="1" x="4943"/>
        <item x="107"/>
        <item m="1" x="2052"/>
        <item m="1" x="3106"/>
        <item m="1" x="3816"/>
        <item m="1" x="659"/>
        <item m="1" x="3326"/>
        <item m="1" x="4833"/>
        <item m="1" x="2343"/>
        <item m="1" x="3350"/>
        <item m="1" x="2977"/>
        <item m="1" x="2344"/>
        <item m="1" x="4391"/>
        <item m="1" x="2687"/>
        <item m="1" x="1131"/>
        <item m="1" x="2626"/>
        <item m="1" x="1171"/>
        <item x="314"/>
        <item m="1" x="3420"/>
        <item m="1" x="4574"/>
        <item m="1" x="4839"/>
        <item m="1" x="4152"/>
        <item m="1" x="1277"/>
        <item m="1" x="4662"/>
        <item x="320"/>
        <item m="1" x="2427"/>
        <item m="1" x="4175"/>
        <item m="1" x="4520"/>
        <item m="1" x="2566"/>
        <item m="1" x="3072"/>
        <item x="441"/>
        <item m="1" x="3169"/>
        <item m="1" x="1368"/>
        <item x="162"/>
        <item m="1" x="4090"/>
        <item m="1" x="4397"/>
        <item m="1" x="4075"/>
        <item m="1" x="4340"/>
        <item m="1" x="3797"/>
        <item m="1" x="3204"/>
        <item m="1" x="2781"/>
        <item m="1" x="4849"/>
        <item m="1" x="4421"/>
        <item m="1" x="687"/>
        <item m="1" x="3620"/>
        <item m="1" x="3357"/>
        <item x="546"/>
        <item m="1" x="4071"/>
        <item x="80"/>
        <item m="1" x="3690"/>
        <item x="506"/>
        <item m="1" x="3964"/>
        <item m="1" x="1128"/>
        <item x="7"/>
        <item m="1" x="3980"/>
        <item m="1" x="4457"/>
        <item m="1" x="2916"/>
        <item m="1" x="4453"/>
        <item m="1" x="2400"/>
        <item m="1" x="1355"/>
        <item m="1" x="1926"/>
        <item m="1" x="2099"/>
        <item m="1" x="3946"/>
        <item m="1" x="4481"/>
        <item m="1" x="4667"/>
        <item m="1" x="4266"/>
        <item m="1" x="4802"/>
        <item m="1" x="1129"/>
        <item m="1" x="1636"/>
        <item m="1" x="2375"/>
        <item m="1" x="1686"/>
        <item m="1" x="3068"/>
        <item m="1" x="2213"/>
        <item m="1" x="4070"/>
        <item m="1" x="3519"/>
        <item m="1" x="3920"/>
        <item m="1" x="2465"/>
        <item m="1" x="2381"/>
        <item m="1" x="4538"/>
        <item m="1" x="3260"/>
        <item m="1" x="2473"/>
        <item m="1" x="1942"/>
        <item x="585"/>
        <item m="1" x="878"/>
        <item m="1" x="3319"/>
        <item x="22"/>
        <item m="1" x="3927"/>
        <item m="1" x="3224"/>
        <item m="1" x="4279"/>
        <item m="1" x="1538"/>
        <item m="1" x="3674"/>
        <item m="1" x="3740"/>
        <item m="1" x="1714"/>
        <item x="114"/>
        <item m="1" x="3570"/>
        <item m="1" x="4311"/>
        <item m="1" x="2475"/>
        <item m="1" x="1108"/>
        <item m="1" x="3156"/>
        <item x="73"/>
        <item m="1" x="4692"/>
        <item m="1" x="3669"/>
        <item m="1" x="4950"/>
        <item m="1" x="1213"/>
        <item m="1" x="1700"/>
        <item m="1" x="3673"/>
        <item m="1" x="4058"/>
        <item m="1" x="3891"/>
        <item m="1" x="4470"/>
        <item m="1" x="1655"/>
        <item m="1" x="2786"/>
        <item m="1" x="1554"/>
        <item m="1" x="4092"/>
        <item m="1" x="841"/>
        <item m="1" x="1784"/>
        <item x="389"/>
        <item m="1" x="4485"/>
        <item x="501"/>
        <item m="1" x="1837"/>
        <item x="410"/>
        <item m="1" x="1009"/>
        <item m="1" x="4765"/>
        <item x="301"/>
        <item m="1" x="4337"/>
        <item x="365"/>
        <item m="1" x="1937"/>
        <item m="1" x="3942"/>
        <item m="1" x="4312"/>
        <item m="1" x="1212"/>
        <item m="1" x="4860"/>
        <item m="1" x="2189"/>
        <item m="1" x="2557"/>
        <item x="382"/>
        <item m="1" x="4171"/>
        <item m="1" x="1767"/>
        <item m="1" x="2485"/>
        <item m="1" x="1578"/>
        <item m="1" x="3979"/>
        <item m="1" x="1853"/>
        <item m="1" x="1261"/>
        <item m="1" x="1091"/>
        <item m="1" x="4131"/>
        <item m="1" x="4586"/>
        <item m="1" x="3558"/>
        <item m="1" x="3019"/>
        <item m="1" x="1258"/>
        <item m="1" x="986"/>
        <item x="305"/>
        <item m="1" x="2607"/>
        <item m="1" x="1445"/>
        <item m="1" x="4448"/>
        <item m="1" x="856"/>
        <item m="1" x="4176"/>
        <item m="1" x="3830"/>
        <item m="1" x="3366"/>
        <item m="1" x="4267"/>
        <item m="1" x="1987"/>
        <item m="1" x="884"/>
        <item m="1" x="726"/>
        <item m="1" x="4320"/>
        <item m="1" x="4743"/>
        <item m="1" x="1877"/>
        <item m="1" x="1299"/>
        <item m="1" x="2740"/>
        <item m="1" x="1251"/>
        <item m="1" x="3529"/>
        <item m="1" x="2891"/>
        <item m="1" x="4566"/>
        <item m="1" x="2133"/>
        <item m="1" x="661"/>
        <item m="1" x="2292"/>
        <item m="1" x="3787"/>
        <item m="1" x="2984"/>
        <item m="1" x="3971"/>
        <item m="1" x="2061"/>
        <item m="1" x="1946"/>
        <item x="278"/>
        <item m="1" x="2793"/>
        <item m="1" x="3286"/>
        <item m="1" x="4064"/>
        <item m="1" x="4622"/>
        <item m="1" x="3026"/>
        <item x="318"/>
        <item m="1" x="1163"/>
        <item m="1" x="1286"/>
        <item m="1" x="3270"/>
        <item m="1" x="1316"/>
        <item m="1" x="2016"/>
        <item m="1" x="4386"/>
        <item m="1" x="4564"/>
        <item m="1" x="645"/>
        <item m="1" x="2942"/>
        <item m="1" x="2615"/>
        <item m="1" x="2523"/>
        <item m="1" x="3866"/>
        <item m="1" x="2182"/>
        <item m="1" x="4116"/>
        <item m="1" x="2303"/>
        <item m="1" x="2881"/>
        <item x="240"/>
        <item m="1" x="762"/>
        <item m="1" x="3355"/>
        <item m="1" x="4642"/>
        <item m="1" x="2398"/>
        <item m="1" x="4412"/>
        <item m="1" x="3781"/>
        <item m="1" x="3125"/>
        <item m="1" x="987"/>
        <item m="1" x="3369"/>
        <item m="1" x="2053"/>
        <item m="1" x="4942"/>
        <item m="1" x="2338"/>
        <item m="1" x="1096"/>
        <item m="1" x="3442"/>
        <item m="1" x="4863"/>
        <item m="1" x="3135"/>
        <item m="1" x="1791"/>
        <item m="1" x="4780"/>
        <item m="1" x="4013"/>
        <item x="193"/>
        <item m="1" x="3117"/>
        <item m="1" x="1956"/>
        <item m="1" x="3871"/>
        <item m="1" x="3494"/>
        <item m="1" x="4228"/>
        <item m="1" x="4722"/>
        <item m="1" x="3159"/>
        <item x="243"/>
        <item m="1" x="2703"/>
        <item m="1" x="3877"/>
        <item m="1" x="4760"/>
        <item m="1" x="3247"/>
        <item m="1" x="1246"/>
        <item x="163"/>
        <item m="1" x="3031"/>
        <item m="1" x="972"/>
        <item m="1" x="2679"/>
        <item m="1" x="3109"/>
        <item m="1" x="2118"/>
        <item m="1" x="1020"/>
        <item m="1" x="2753"/>
        <item m="1" x="4777"/>
        <item x="391"/>
        <item m="1" x="2908"/>
        <item m="1" x="2774"/>
        <item m="1" x="2569"/>
        <item m="1" x="4463"/>
        <item m="1" x="4477"/>
        <item m="1" x="2152"/>
        <item m="1" x="1243"/>
        <item m="1" x="2056"/>
        <item m="1" x="4086"/>
        <item x="379"/>
        <item m="1" x="2431"/>
        <item m="1" x="1966"/>
        <item m="1" x="2780"/>
        <item m="1" x="3267"/>
        <item m="1" x="4089"/>
        <item m="1" x="2934"/>
        <item m="1" x="3415"/>
        <item x="343"/>
        <item m="1" x="4264"/>
        <item m="1" x="1495"/>
        <item m="1" x="2909"/>
        <item m="1" x="3619"/>
        <item m="1" x="2206"/>
        <item m="1" x="3285"/>
        <item m="1" x="2794"/>
        <item m="1" x="1292"/>
        <item m="1" x="3379"/>
        <item m="1" x="3775"/>
        <item m="1" x="1683"/>
        <item m="1" x="3434"/>
        <item m="1" x="1158"/>
        <item x="561"/>
        <item m="1" x="2135"/>
        <item m="1" x="2736"/>
        <item m="1" x="1225"/>
        <item x="332"/>
        <item x="116"/>
        <item x="89"/>
        <item m="1" x="1437"/>
        <item x="574"/>
        <item m="1" x="2573"/>
        <item m="1" x="4709"/>
        <item m="1" x="1671"/>
        <item m="1" x="1986"/>
        <item m="1" x="652"/>
        <item x="466"/>
        <item m="1" x="1237"/>
        <item m="1" x="1275"/>
        <item m="1" x="1749"/>
        <item m="1" x="4259"/>
        <item x="294"/>
        <item x="418"/>
        <item m="1" x="1500"/>
        <item m="1" x="4978"/>
        <item m="1" x="3307"/>
        <item m="1" x="3044"/>
        <item m="1" x="1577"/>
        <item m="1" x="2074"/>
        <item m="1" x="3152"/>
        <item m="1" x="3676"/>
        <item m="1" x="2069"/>
        <item m="1" x="1371"/>
        <item m="1" x="3146"/>
        <item m="1" x="1310"/>
        <item m="1" x="910"/>
        <item m="1" x="1106"/>
        <item m="1" x="967"/>
        <item m="1" x="1357"/>
        <item m="1" x="2998"/>
        <item m="1" x="4850"/>
        <item m="1" x="1273"/>
        <item m="1" x="890"/>
        <item m="1" x="1465"/>
        <item m="1" x="2928"/>
        <item m="1" x="1285"/>
        <item m="1" x="3093"/>
        <item m="1" x="2196"/>
        <item m="1" x="2718"/>
        <item m="1" x="2062"/>
        <item x="295"/>
        <item m="1" x="3275"/>
        <item m="1" x="1215"/>
        <item m="1" x="3278"/>
        <item x="296"/>
        <item m="1" x="3857"/>
        <item m="1" x="1904"/>
        <item m="1" x="2458"/>
        <item m="1" x="4037"/>
        <item m="1" x="2080"/>
        <item m="1" x="4534"/>
        <item x="395"/>
        <item m="1" x="1831"/>
        <item m="1" x="1482"/>
        <item m="1" x="1930"/>
        <item m="1" x="2677"/>
        <item m="1" x="2930"/>
        <item m="1" x="3814"/>
        <item m="1" x="761"/>
        <item x="567"/>
        <item m="1" x="1503"/>
        <item m="1" x="3100"/>
        <item m="1" x="4528"/>
        <item m="1" x="3416"/>
        <item m="1" x="3374"/>
        <item m="1" x="4955"/>
        <item m="1" x="2104"/>
        <item m="1" x="644"/>
        <item m="1" x="1055"/>
        <item x="54"/>
        <item x="329"/>
        <item m="1" x="1031"/>
        <item m="1" x="4224"/>
        <item m="1" x="4174"/>
        <item m="1" x="3408"/>
        <item m="1" x="780"/>
        <item m="1" x="2823"/>
        <item m="1" x="3820"/>
        <item m="1" x="4707"/>
        <item m="1" x="4971"/>
        <item x="81"/>
        <item m="1" x="2115"/>
        <item m="1" x="3576"/>
        <item m="1" x="4651"/>
        <item x="191"/>
        <item m="1" x="3165"/>
        <item m="1" x="4304"/>
        <item m="1" x="778"/>
        <item x="573"/>
        <item m="1" x="945"/>
        <item m="1" x="1449"/>
        <item x="422"/>
        <item m="1" x="1025"/>
        <item m="1" x="3514"/>
        <item m="1" x="655"/>
        <item m="1" x="2190"/>
        <item x="98"/>
        <item m="1" x="1649"/>
        <item m="1" x="4326"/>
        <item m="1" x="3468"/>
        <item m="1" x="985"/>
        <item m="1" x="1342"/>
        <item m="1" x="4763"/>
        <item x="448"/>
        <item m="1" x="2576"/>
        <item m="1" x="4804"/>
        <item m="1" x="2970"/>
        <item m="1" x="1530"/>
        <item m="1" x="4271"/>
        <item m="1" x="2550"/>
        <item m="1" x="1644"/>
        <item m="1" x="3552"/>
        <item m="1" x="935"/>
        <item m="1" x="4307"/>
        <item m="1" x="2644"/>
        <item x="74"/>
        <item m="1" x="3008"/>
        <item m="1" x="2278"/>
        <item m="1" x="4482"/>
        <item m="1" x="2957"/>
        <item m="1" x="2374"/>
        <item m="1" x="3599"/>
        <item m="1" x="917"/>
        <item m="1" x="2604"/>
        <item m="1" x="2397"/>
        <item m="1" x="4547"/>
        <item m="1" x="608"/>
        <item x="393"/>
        <item m="1" x="3919"/>
        <item m="1" x="4369"/>
        <item x="299"/>
        <item m="1" x="1201"/>
        <item m="1" x="3680"/>
        <item x="178"/>
        <item m="1" x="2349"/>
        <item m="1" x="2001"/>
        <item m="1" x="4049"/>
        <item m="1" x="4467"/>
        <item m="1" x="3375"/>
        <item m="1" x="2795"/>
        <item m="1" x="1968"/>
        <item m="1" x="2409"/>
        <item m="1" x="1624"/>
        <item m="1" x="4815"/>
        <item m="1" x="3112"/>
        <item m="1" x="2589"/>
        <item m="1" x="1753"/>
        <item m="1" x="4119"/>
        <item x="353"/>
        <item m="1" x="2861"/>
        <item m="1" x="2708"/>
        <item m="1" x="1882"/>
        <item m="1" x="950"/>
        <item m="1" x="1269"/>
        <item m="1" x="2538"/>
        <item m="1" x="3522"/>
        <item m="1" x="3443"/>
        <item m="1" x="3298"/>
        <item m="1" x="2046"/>
        <item m="1" x="4074"/>
        <item x="547"/>
        <item m="1" x="2455"/>
        <item m="1" x="2654"/>
        <item x="571"/>
        <item m="1" x="3454"/>
        <item m="1" x="2689"/>
        <item m="1" x="1058"/>
        <item m="1" x="3184"/>
        <item m="1" x="683"/>
        <item m="1" x="2285"/>
        <item m="1" x="685"/>
        <item m="1" x="4190"/>
        <item m="1" x="3959"/>
        <item m="1" x="725"/>
        <item m="1" x="4592"/>
        <item m="1" x="4757"/>
        <item x="558"/>
        <item m="1" x="4755"/>
        <item x="209"/>
        <item m="1" x="2634"/>
        <item m="1" x="1110"/>
        <item m="1" x="1109"/>
        <item m="1" x="1739"/>
        <item m="1" x="4097"/>
        <item m="1" x="1475"/>
        <item m="1" x="2160"/>
        <item x="208"/>
        <item m="1" x="3126"/>
        <item m="1" x="1923"/>
        <item x="239"/>
        <item m="1" x="1010"/>
        <item m="1" x="2907"/>
        <item m="1" x="1074"/>
        <item m="1" x="913"/>
        <item m="1" x="2973"/>
        <item m="1" x="2961"/>
        <item m="1" x="2384"/>
        <item m="1" x="3429"/>
        <item m="1" x="3564"/>
        <item m="1" x="3773"/>
        <item m="1" x="2962"/>
        <item m="1" x="2395"/>
        <item m="1" x="606"/>
        <item m="1" x="3863"/>
        <item m="1" x="3566"/>
        <item m="1" x="2413"/>
        <item m="1" x="3706"/>
        <item m="1" x="2208"/>
        <item m="1" x="4144"/>
        <item m="1" x="1948"/>
        <item m="1" x="2394"/>
        <item m="1" x="3438"/>
        <item m="1" x="4882"/>
        <item m="1" x="3977"/>
        <item m="1" x="2468"/>
        <item m="1" x="3649"/>
        <item m="1" x="2946"/>
        <item m="1" x="3937"/>
        <item m="1" x="4475"/>
        <item m="1" x="3720"/>
        <item m="1" x="3672"/>
        <item m="1" x="3291"/>
        <item m="1" x="3371"/>
        <item m="1" x="2953"/>
        <item m="1" x="748"/>
        <item m="1" x="1585"/>
        <item x="274"/>
        <item m="1" x="3212"/>
        <item m="1" x="4509"/>
        <item m="1" x="3725"/>
        <item m="1" x="4972"/>
        <item m="1" x="2396"/>
        <item m="1" x="1765"/>
        <item x="127"/>
        <item m="1" x="4840"/>
        <item x="436"/>
        <item m="1" x="2876"/>
        <item m="1" x="3373"/>
        <item m="1" x="1794"/>
        <item m="1" x="623"/>
        <item m="1" x="1550"/>
        <item m="1" x="2944"/>
        <item x="157"/>
        <item m="1" x="2558"/>
        <item m="1" x="1523"/>
        <item m="1" x="1657"/>
        <item m="1" x="2169"/>
        <item m="1" x="2291"/>
        <item m="1" x="2047"/>
        <item m="1" x="882"/>
        <item m="1" x="4577"/>
        <item m="1" x="4324"/>
        <item m="1" x="927"/>
        <item m="1" x="2933"/>
        <item m="1" x="719"/>
        <item m="1" x="1195"/>
        <item m="1" x="2263"/>
        <item m="1" x="4167"/>
        <item m="1" x="620"/>
        <item m="1" x="4344"/>
        <item x="494"/>
        <item m="1" x="3731"/>
        <item m="1" x="2141"/>
        <item m="1" x="958"/>
        <item m="1" x="4864"/>
        <item m="1" x="3768"/>
        <item m="1" x="689"/>
        <item m="1" x="4012"/>
        <item m="1" x="2804"/>
        <item m="1" x="3074"/>
        <item x="133"/>
        <item m="1" x="4949"/>
        <item m="1" x="4442"/>
        <item m="1" x="4310"/>
        <item m="1" x="4400"/>
        <item m="1" x="3753"/>
        <item m="1" x="4300"/>
        <item m="1" x="925"/>
        <item m="1" x="2940"/>
        <item m="1" x="741"/>
        <item m="1" x="2894"/>
        <item m="1" x="4432"/>
        <item m="1" x="2542"/>
        <item m="1" x="1852"/>
        <item m="1" x="4268"/>
        <item m="1" x="3588"/>
        <item m="1" x="4699"/>
        <item m="1" x="4025"/>
        <item m="1" x="3616"/>
        <item m="1" x="1152"/>
        <item m="1" x="2696"/>
        <item m="1" x="1474"/>
        <item m="1" x="4103"/>
        <item m="1" x="1647"/>
        <item m="1" x="4607"/>
        <item m="1" x="2516"/>
        <item m="1" x="4693"/>
        <item m="1" x="4023"/>
        <item m="1" x="1254"/>
        <item m="1" x="3430"/>
        <item m="1" x="4865"/>
        <item m="1" x="3356"/>
        <item m="1" x="1185"/>
        <item m="1" x="2110"/>
        <item m="1" x="867"/>
        <item m="1" x="1812"/>
        <item m="1" x="3067"/>
        <item m="1" x="1888"/>
        <item m="1" x="3069"/>
        <item x="445"/>
        <item x="267"/>
        <item m="1" x="4579"/>
        <item x="219"/>
        <item m="1" x="1681"/>
        <item m="1" x="4488"/>
        <item m="1" x="1491"/>
        <item x="40"/>
        <item m="1" x="1159"/>
        <item m="1" x="995"/>
        <item m="1" x="2054"/>
        <item m="1" x="896"/>
        <item m="1" x="1014"/>
        <item m="1" x="1408"/>
        <item m="1" x="3683"/>
        <item m="1" x="2568"/>
        <item m="1" x="3123"/>
        <item m="1" x="3735"/>
        <item m="1" x="2388"/>
        <item x="216"/>
        <item m="1" x="4385"/>
        <item m="1" x="4294"/>
        <item m="1" x="2759"/>
        <item m="1" x="3017"/>
        <item m="1" x="1006"/>
        <item m="1" x="2955"/>
        <item m="1" x="1204"/>
        <item m="1" x="3633"/>
        <item x="145"/>
        <item x="95"/>
        <item m="1" x="1924"/>
        <item x="67"/>
        <item m="1" x="2741"/>
        <item m="1" x="932"/>
        <item m="1" x="3603"/>
        <item m="1" x="4348"/>
        <item m="1" x="1228"/>
        <item m="1" x="3447"/>
        <item m="1" x="1906"/>
        <item x="602"/>
        <item m="1" x="803"/>
        <item m="1" x="4788"/>
        <item m="1" x="1808"/>
        <item m="1" x="4970"/>
        <item m="1" x="2921"/>
        <item m="1" x="4545"/>
        <item m="1" x="3271"/>
        <item m="1" x="1050"/>
        <item m="1" x="3527"/>
        <item m="1" x="1750"/>
        <item m="1" x="885"/>
        <item m="1" x="1180"/>
        <item m="1" x="3841"/>
        <item m="1" x="3896"/>
        <item m="1" x="3642"/>
        <item m="1" x="4121"/>
        <item m="1" x="3790"/>
        <item m="1" x="4405"/>
        <item m="1" x="2114"/>
        <item m="1" x="4251"/>
        <item m="1" x="2878"/>
        <item x="373"/>
        <item m="1" x="3007"/>
        <item m="1" x="3515"/>
        <item m="1" x="3557"/>
        <item m="1" x="1252"/>
        <item m="1" x="2715"/>
        <item x="179"/>
        <item x="472"/>
        <item x="26"/>
        <item m="1" x="1595"/>
        <item m="1" x="3449"/>
        <item m="1" x="4843"/>
        <item m="1" x="4376"/>
        <item m="1" x="4679"/>
        <item m="1" x="1216"/>
        <item m="1" x="830"/>
        <item m="1" x="617"/>
        <item m="1" x="1311"/>
        <item m="1" x="2078"/>
        <item x="285"/>
        <item m="1" x="1513"/>
        <item m="1" x="923"/>
        <item m="1" x="1707"/>
        <item x="232"/>
        <item m="1" x="2163"/>
        <item m="1" x="1521"/>
        <item m="1" x="1650"/>
        <item m="1" x="4032"/>
        <item m="1" x="2875"/>
        <item x="491"/>
        <item m="1" x="4542"/>
        <item m="1" x="1402"/>
        <item m="1" x="4384"/>
        <item m="1" x="2594"/>
        <item m="1" x="1490"/>
        <item m="1" x="854"/>
        <item m="1" x="3842"/>
        <item m="1" x="3612"/>
        <item x="570"/>
        <item m="1" x="2922"/>
        <item m="1" x="2670"/>
        <item m="1" x="3182"/>
        <item m="1" x="3395"/>
        <item m="1" x="4559"/>
        <item m="1" x="4601"/>
        <item m="1" x="965"/>
        <item m="1" x="4848"/>
        <item m="1" x="799"/>
        <item m="1" x="3300"/>
        <item m="1" x="1613"/>
        <item m="1" x="1433"/>
        <item m="1" x="3353"/>
        <item m="1" x="4161"/>
        <item m="1" x="2923"/>
        <item m="1" x="3376"/>
        <item m="1" x="2454"/>
        <item m="1" x="4403"/>
        <item m="1" x="2332"/>
        <item m="1" x="3336"/>
        <item m="1" x="3707"/>
        <item m="1" x="1822"/>
        <item m="1" x="759"/>
        <item m="1" x="2506"/>
        <item m="1" x="3488"/>
        <item m="1" x="699"/>
        <item m="1" x="1122"/>
        <item m="1" x="1089"/>
        <item m="1" x="1981"/>
        <item m="1" x="2919"/>
        <item x="477"/>
        <item m="1" x="723"/>
        <item m="1" x="4014"/>
        <item m="1" x="2826"/>
        <item m="1" x="3361"/>
        <item m="1" x="1604"/>
        <item m="1" x="2559"/>
        <item m="1" x="4095"/>
        <item x="580"/>
        <item m="1" x="731"/>
        <item m="1" x="4959"/>
        <item m="1" x="2798"/>
        <item x="141"/>
        <item m="1" x="1746"/>
        <item m="1" x="4894"/>
        <item m="1" x="941"/>
        <item m="1" x="4262"/>
        <item m="1" x="3280"/>
        <item x="0"/>
        <item m="1" x="1105"/>
        <item m="1" x="4217"/>
        <item m="1" x="4425"/>
        <item m="1" x="843"/>
        <item x="1"/>
        <item m="1" x="4593"/>
        <item m="1" x="1032"/>
        <item m="1" x="1098"/>
        <item m="1" x="4814"/>
        <item m="1" x="2192"/>
        <item m="1" x="911"/>
        <item m="1" x="4900"/>
        <item m="1" x="3362"/>
        <item m="1" x="1035"/>
        <item m="1" x="997"/>
        <item m="1" x="1771"/>
        <item m="1" x="3584"/>
        <item m="1" x="4511"/>
        <item m="1" x="1461"/>
        <item m="1" x="3513"/>
        <item x="542"/>
        <item m="1" x="2442"/>
        <item m="1" x="4830"/>
        <item m="1" x="1541"/>
        <item m="1" x="2629"/>
        <item m="1" x="1606"/>
        <item x="41"/>
        <item m="1" x="2165"/>
        <item m="1" x="613"/>
        <item m="1" x="2129"/>
        <item m="1" x="1435"/>
        <item m="1" x="711"/>
        <item m="1" x="1977"/>
        <item m="1" x="1840"/>
        <item x="554"/>
        <item m="1" x="1762"/>
        <item x="222"/>
        <item m="1" x="2423"/>
        <item m="1" x="2032"/>
        <item m="1" x="817"/>
        <item m="1" x="1263"/>
        <item m="1" x="2849"/>
        <item m="1" x="1884"/>
        <item m="1" x="2307"/>
        <item m="1" x="3510"/>
        <item x="406"/>
        <item m="1" x="1155"/>
        <item m="1" x="3878"/>
        <item m="1" x="1305"/>
        <item m="1" x="3811"/>
        <item x="453"/>
        <item m="1" x="2883"/>
        <item m="1" x="4818"/>
        <item m="1" x="747"/>
        <item m="1" x="1569"/>
        <item m="1" x="1376"/>
        <item m="1" x="4440"/>
        <item x="235"/>
        <item m="1" x="3232"/>
        <item m="1" x="1518"/>
        <item m="1" x="721"/>
        <item m="1" x="714"/>
        <item m="1" x="2241"/>
        <item m="1" x="3153"/>
        <item x="384"/>
        <item m="1" x="3667"/>
        <item m="1" x="3699"/>
        <item m="1" x="2681"/>
        <item m="1" x="658"/>
        <item m="1" x="2246"/>
        <item m="1" x="4981"/>
        <item m="1" x="4166"/>
        <item m="1" x="4884"/>
        <item m="1" x="3784"/>
        <item m="1" x="3661"/>
        <item m="1" x="3203"/>
        <item m="1" x="1507"/>
        <item m="1" x="1205"/>
        <item m="1" x="953"/>
        <item m="1" x="1512"/>
        <item m="1" x="3325"/>
        <item m="1" x="1612"/>
        <item m="1" x="2505"/>
        <item m="1" x="1861"/>
        <item m="1" x="4004"/>
        <item x="90"/>
        <item m="1" x="1741"/>
        <item m="1" x="3917"/>
        <item m="1" x="3845"/>
        <item m="1" x="3229"/>
        <item m="1" x="868"/>
        <item x="265"/>
        <item x="333"/>
        <item m="1" x="1598"/>
        <item m="1" x="4209"/>
        <item m="1" x="3988"/>
        <item m="1" x="1716"/>
        <item m="1" x="934"/>
        <item m="1" x="3872"/>
        <item m="1" x="2177"/>
        <item x="579"/>
        <item x="247"/>
        <item m="1" x="2725"/>
        <item m="1" x="4471"/>
        <item m="1" x="4250"/>
        <item m="1" x="4380"/>
        <item x="104"/>
        <item m="1" x="1795"/>
        <item m="1" x="2148"/>
        <item m="1" x="3193"/>
        <item m="1" x="3465"/>
        <item m="1" x="1964"/>
        <item m="1" x="2350"/>
        <item m="1" x="1743"/>
        <item m="1" x="3043"/>
        <item m="1" x="4982"/>
        <item m="1" x="4658"/>
        <item m="1" x="1586"/>
        <item m="1" x="4227"/>
        <item m="1" x="1224"/>
        <item m="1" x="2496"/>
        <item m="1" x="3801"/>
        <item m="1" x="2831"/>
        <item m="1" x="3627"/>
        <item x="275"/>
        <item m="1" x="2698"/>
        <item m="1" x="3190"/>
        <item x="566"/>
        <item m="1" x="2517"/>
        <item m="1" x="1979"/>
        <item m="1" x="2320"/>
        <item m="1" x="2051"/>
        <item m="1" x="1113"/>
        <item m="1" x="937"/>
        <item m="1" x="2333"/>
        <item m="1" x="660"/>
        <item m="1" x="1499"/>
        <item m="1" x="1833"/>
        <item m="1" x="4820"/>
        <item m="1" x="4084"/>
        <item m="1" x="4204"/>
        <item m="1" x="3040"/>
        <item x="300"/>
        <item x="125"/>
        <item m="1" x="3596"/>
        <item m="1" x="2071"/>
        <item m="1" x="2068"/>
        <item m="1" x="2467"/>
        <item m="1" x="2986"/>
        <item m="1" x="2757"/>
        <item m="1" x="819"/>
        <item m="1" x="1264"/>
        <item x="357"/>
        <item m="1" x="1868"/>
        <item m="1" x="4931"/>
        <item m="1" x="4920"/>
        <item x="584"/>
        <item m="1" x="2507"/>
        <item m="1" x="619"/>
        <item m="1" x="673"/>
        <item m="1" x="2905"/>
        <item m="1" x="1041"/>
        <item m="1" x="853"/>
        <item m="1" x="2779"/>
        <item m="1" x="1670"/>
        <item m="1" x="3297"/>
        <item x="70"/>
        <item m="1" x="1379"/>
        <item m="1" x="3249"/>
        <item m="1" x="3723"/>
        <item m="1" x="2700"/>
        <item m="1" x="3554"/>
        <item m="1" x="1596"/>
        <item m="1" x="1745"/>
        <item m="1" x="1054"/>
        <item x="556"/>
        <item m="1" x="810"/>
        <item m="1" x="2220"/>
        <item m="1" x="4681"/>
        <item m="1" x="4415"/>
        <item x="405"/>
        <item m="1" x="4424"/>
        <item m="1" x="2228"/>
        <item x="309"/>
        <item m="1" x="3609"/>
        <item m="1" x="3692"/>
        <item x="87"/>
        <item m="1" x="2662"/>
        <item m="1" x="1712"/>
        <item m="1" x="3431"/>
        <item m="1" x="2252"/>
        <item m="1" x="3886"/>
        <item m="1" x="2556"/>
        <item m="1" x="3982"/>
        <item m="1" x="1944"/>
        <item m="1" x="1375"/>
        <item m="1" x="4507"/>
        <item m="1" x="3611"/>
        <item m="1" x="2127"/>
        <item m="1" x="1759"/>
        <item m="1" x="4776"/>
        <item x="552"/>
        <item x="36"/>
        <item x="149"/>
        <item m="1" x="3070"/>
        <item m="1" x="1789"/>
        <item m="1" x="3821"/>
        <item m="1" x="2451"/>
        <item x="315"/>
        <item m="1" x="4107"/>
        <item m="1" x="2674"/>
        <item x="543"/>
        <item x="504"/>
        <item m="1" x="3477"/>
        <item m="1" x="4746"/>
        <item m="1" x="883"/>
        <item m="1" x="975"/>
        <item m="1" x="4885"/>
        <item m="1" x="4423"/>
        <item m="1" x="892"/>
        <item m="1" x="2106"/>
        <item m="1" x="2354"/>
        <item m="1" x="3520"/>
        <item m="1" x="1498"/>
        <item m="1" x="4624"/>
        <item m="1" x="2509"/>
        <item m="1" x="3541"/>
        <item m="1" x="807"/>
        <item m="1" x="2547"/>
        <item m="1" x="2302"/>
        <item m="1" x="4297"/>
        <item m="1" x="1887"/>
        <item m="1" x="798"/>
        <item m="1" x="906"/>
        <item m="1" x="1544"/>
        <item m="1" x="2808"/>
        <item m="1" x="1648"/>
        <item x="581"/>
        <item x="601"/>
        <item m="1" x="1836"/>
        <item x="369"/>
        <item m="1" x="3223"/>
        <item m="1" x="2082"/>
        <item m="1" x="2975"/>
        <item m="1" x="1594"/>
        <item m="1" x="3315"/>
        <item x="262"/>
        <item x="288"/>
        <item m="1" x="2420"/>
        <item m="1" x="3567"/>
        <item m="1" x="3403"/>
        <item m="1" x="1576"/>
        <item m="1" x="2844"/>
        <item m="1" x="4173"/>
        <item m="1" x="1191"/>
        <item m="1" x="2164"/>
        <item m="1" x="4869"/>
        <item m="1" x="1048"/>
        <item m="1" x="1916"/>
        <item m="1" x="3048"/>
        <item m="1" x="4502"/>
        <item m="1" x="3817"/>
        <item m="1" x="4594"/>
        <item m="1" x="2008"/>
        <item m="1" x="2171"/>
        <item m="1" x="4357"/>
        <item m="1" x="1959"/>
        <item m="1" x="3265"/>
        <item m="1" x="862"/>
        <item m="1" x="4892"/>
        <item m="1" x="3045"/>
        <item m="1" x="1839"/>
        <item m="1" x="2210"/>
        <item m="1" x="4449"/>
        <item m="1" x="2925"/>
        <item m="1" x="4451"/>
        <item m="1" x="4986"/>
        <item m="1" x="3951"/>
        <item m="1" x="2168"/>
        <item m="1" x="1603"/>
        <item m="1" x="915"/>
        <item m="1" x="3295"/>
        <item m="1" x="3460"/>
        <item m="1" x="1227"/>
        <item m="1" x="1426"/>
        <item x="44"/>
        <item m="1" x="999"/>
        <item m="1" x="2871"/>
        <item m="1" x="2712"/>
        <item m="1" x="4196"/>
        <item m="1" x="4231"/>
        <item m="1" x="3433"/>
        <item x="37"/>
        <item m="1" x="4016"/>
        <item m="1" x="2385"/>
        <item m="1" x="3583"/>
        <item m="1" x="1301"/>
        <item m="1" x="3287"/>
        <item m="1" x="860"/>
        <item m="1" x="1997"/>
        <item m="1" x="740"/>
        <item m="1" x="4555"/>
        <item m="1" x="4888"/>
        <item m="1" x="2807"/>
        <item m="1" x="2304"/>
        <item m="1" x="4024"/>
        <item m="1" x="697"/>
        <item m="1" x="1454"/>
        <item m="1" x="1344"/>
        <item m="1" x="2895"/>
        <item m="1" x="3538"/>
        <item m="1" x="844"/>
        <item m="1" x="3658"/>
        <item m="1" x="4785"/>
        <item m="1" x="2790"/>
        <item m="1" x="825"/>
        <item m="1" x="851"/>
        <item m="1" x="4766"/>
        <item m="1" x="2563"/>
        <item m="1" x="2665"/>
        <item m="1" x="3458"/>
        <item m="1" x="3435"/>
        <item m="1" x="2070"/>
        <item m="1" x="3257"/>
        <item m="1" x="2624"/>
        <item x="537"/>
        <item x="344"/>
        <item x="147"/>
        <item m="1" x="1856"/>
        <item m="1" x="1779"/>
        <item m="1" x="2818"/>
        <item m="1" x="1248"/>
        <item m="1" x="805"/>
        <item m="1" x="698"/>
        <item m="1" x="3530"/>
        <item m="1" x="4081"/>
        <item m="1" x="3266"/>
        <item m="1" x="1208"/>
        <item x="535"/>
        <item m="1" x="4932"/>
        <item m="1" x="671"/>
        <item m="1" x="1506"/>
        <item m="1" x="3870"/>
        <item m="1" x="4550"/>
        <item m="1" x="765"/>
        <item x="244"/>
        <item m="1" x="1103"/>
        <item m="1" x="3363"/>
        <item m="1" x="2864"/>
        <item m="1" x="4407"/>
        <item m="1" x="4468"/>
        <item m="1" x="3457"/>
        <item m="1" x="4197"/>
        <item m="1" x="4750"/>
        <item m="1" x="3957"/>
        <item m="1" x="3113"/>
        <item m="1" x="2125"/>
        <item m="1" x="4974"/>
        <item m="1" x="4373"/>
        <item m="1" x="4270"/>
        <item m="1" x="4428"/>
        <item x="261"/>
        <item m="1" x="1757"/>
        <item m="1" x="3414"/>
        <item m="1" x="4000"/>
        <item m="1" x="4736"/>
        <item m="1" x="4371"/>
        <item m="1" x="4691"/>
        <item m="1" x="3936"/>
        <item m="1" x="4895"/>
        <item m="1" x="3809"/>
        <item m="1" x="2076"/>
        <item m="1" x="4419"/>
        <item m="1" x="3277"/>
        <item m="1" x="3304"/>
        <item m="1" x="2635"/>
        <item m="1" x="1076"/>
        <item m="1" x="677"/>
        <item m="1" x="2105"/>
        <item m="1" x="3608"/>
        <item m="1" x="2469"/>
        <item m="1" x="795"/>
        <item m="1" x="1151"/>
        <item m="1" x="1385"/>
        <item m="1" x="4077"/>
        <item m="1" x="1377"/>
        <item m="1" x="1190"/>
        <item m="1" x="1618"/>
        <item m="1" x="1481"/>
        <item m="1" x="1430"/>
        <item m="1" x="3909"/>
        <item m="1" x="4614"/>
        <item m="1" x="3394"/>
        <item x="217"/>
        <item x="335"/>
        <item m="1" x="4411"/>
        <item m="1" x="2762"/>
        <item m="1" x="4006"/>
        <item m="1" x="3782"/>
        <item m="1" x="3783"/>
        <item m="1" x="3423"/>
        <item m="1" x="1855"/>
        <item m="1" x="2024"/>
        <item m="1" x="4659"/>
        <item m="1" x="2990"/>
        <item x="270"/>
        <item m="1" x="4799"/>
        <item x="430"/>
        <item m="1" x="4493"/>
        <item m="1" x="607"/>
        <item m="1" x="800"/>
        <item m="1" x="2494"/>
        <item m="1" x="1693"/>
        <item m="1" x="1607"/>
        <item m="1" x="3776"/>
        <item m="1" x="1834"/>
        <item m="1" x="4035"/>
        <item m="1" x="4379"/>
        <item m="1" x="4633"/>
        <item m="1" x="2180"/>
        <item m="1" x="1178"/>
        <item m="1" x="3453"/>
        <item m="1" x="635"/>
        <item m="1" x="3962"/>
        <item m="1" x="1918"/>
        <item m="1" x="4156"/>
        <item m="1" x="1023"/>
        <item m="1" x="3840"/>
        <item m="1" x="1900"/>
        <item m="1" x="4094"/>
        <item m="1" x="3130"/>
        <item m="1" x="4552"/>
        <item m="1" x="3560"/>
        <item m="1" x="3748"/>
        <item x="109"/>
        <item m="1" x="4117"/>
        <item m="1" x="2150"/>
        <item m="1" x="2716"/>
        <item m="1" x="679"/>
        <item m="1" x="1605"/>
        <item m="1" x="4409"/>
        <item m="1" x="4334"/>
        <item m="1" x="2852"/>
        <item m="1" x="3923"/>
        <item m="1" x="2713"/>
        <item m="1" x="2340"/>
        <item m="1" x="4338"/>
        <item m="1" x="832"/>
        <item m="1" x="2564"/>
        <item x="412"/>
        <item m="1" x="1696"/>
        <item m="1" x="4255"/>
        <item m="1" x="3794"/>
        <item m="1" x="4460"/>
        <item m="1" x="768"/>
        <item m="1" x="3143"/>
        <item m="1" x="4720"/>
        <item m="1" x="1860"/>
        <item m="1" x="4713"/>
        <item m="1" x="2253"/>
        <item m="1" x="1325"/>
        <item m="1" x="4022"/>
        <item m="1" x="2359"/>
        <item m="1" x="3331"/>
        <item m="1" x="3256"/>
        <item m="1" x="4934"/>
        <item m="1" x="4514"/>
        <item m="1" x="3283"/>
        <item m="1" x="4112"/>
        <item m="1" x="4427"/>
        <item m="1" x="612"/>
        <item m="1" x="2763"/>
        <item m="1" x="4148"/>
        <item x="263"/>
        <item m="1" x="3216"/>
        <item m="1" x="1289"/>
        <item m="1" x="4127"/>
        <item m="1" x="4588"/>
        <item m="1" x="3943"/>
        <item m="1" x="4656"/>
        <item m="1" x="4965"/>
        <item m="1" x="3136"/>
        <item m="1" x="949"/>
        <item m="1" x="4165"/>
        <item m="1" x="3391"/>
        <item m="1" x="1694"/>
        <item m="1" x="4598"/>
        <item m="1" x="3167"/>
        <item m="1" x="1559"/>
        <item m="1" x="4599"/>
        <item m="1" x="4239"/>
        <item m="1" x="1296"/>
        <item x="354"/>
        <item x="103"/>
        <item m="1" x="4293"/>
        <item m="1" x="4530"/>
        <item m="1" x="3885"/>
        <item m="1" x="4873"/>
        <item m="1" x="4076"/>
        <item m="1" x="833"/>
        <item m="1" x="4795"/>
        <item m="1" x="3763"/>
        <item x="43"/>
        <item m="1" x="2598"/>
        <item m="1" x="1932"/>
        <item m="1" x="4289"/>
        <item m="1" x="2456"/>
        <item m="1" x="2065"/>
        <item m="1" x="3426"/>
        <item m="1" x="3610"/>
        <item m="1" x="2370"/>
        <item m="1" x="2149"/>
        <item m="1" x="4072"/>
        <item m="1" x="2214"/>
        <item m="1" x="1667"/>
        <item m="1" x="4200"/>
        <item m="1" x="3092"/>
        <item m="1" x="3088"/>
        <item m="1" x="2939"/>
        <item m="1" x="1933"/>
        <item m="1" x="1493"/>
        <item m="1" x="1706"/>
        <item m="1" x="4331"/>
        <item m="1" x="3402"/>
        <item m="1" x="2266"/>
        <item m="1" x="4296"/>
        <item m="1" x="2777"/>
        <item m="1" x="1393"/>
        <item m="1" x="4192"/>
        <item m="1" x="3715"/>
        <item x="308"/>
        <item m="1" x="3639"/>
        <item m="1" x="1963"/>
        <item m="1" x="3812"/>
        <item m="1" x="4414"/>
        <item m="1" x="1723"/>
        <item m="1" x="3139"/>
        <item m="1" x="2238"/>
        <item m="1" x="4683"/>
        <item m="1" x="4627"/>
        <item m="1" x="3571"/>
        <item m="1" x="2040"/>
        <item m="1" x="2072"/>
        <item m="1" x="1194"/>
        <item m="1" x="2959"/>
        <item m="1" x="4216"/>
        <item m="1" x="4966"/>
        <item m="1" x="3966"/>
        <item m="1" x="3901"/>
        <item m="1" x="2236"/>
        <item m="1" x="2281"/>
        <item m="1" x="3615"/>
        <item m="1" x="3497"/>
        <item m="1" x="3405"/>
        <item m="1" x="3060"/>
        <item m="1" x="2412"/>
        <item m="1" x="2963"/>
        <item m="1" x="4026"/>
        <item m="1" x="3359"/>
        <item m="1" x="1147"/>
        <item m="1" x="2561"/>
        <item x="586"/>
        <item m="1" x="4275"/>
        <item m="1" x="1471"/>
        <item m="1" x="1487"/>
        <item x="592"/>
        <item m="1" x="1303"/>
        <item m="1" x="3550"/>
        <item m="1" x="2313"/>
        <item m="1" x="1472"/>
        <item m="1" x="1673"/>
        <item m="1" x="1209"/>
        <item m="1" x="2579"/>
        <item m="1" x="1327"/>
        <item m="1" x="2331"/>
        <item m="1" x="1308"/>
        <item m="1" x="4964"/>
        <item m="1" x="4290"/>
        <item m="1" x="4767"/>
        <item m="1" x="744"/>
        <item m="1" x="2675"/>
        <item m="1" x="4444"/>
        <item m="1" x="2284"/>
        <item m="1" x="4926"/>
        <item m="1" x="3238"/>
        <item m="1" x="1063"/>
        <item m="1" x="4927"/>
        <item x="165"/>
        <item m="1" x="4218"/>
        <item m="1" x="4219"/>
        <item m="1" x="3983"/>
        <item m="1" x="4744"/>
        <item m="1" x="2667"/>
        <item m="1" x="1849"/>
        <item m="1" x="1003"/>
        <item x="503"/>
        <item m="1" x="791"/>
        <item m="1" x="4822"/>
        <item m="1" x="2435"/>
        <item m="1" x="2820"/>
        <item m="1" x="4628"/>
        <item m="1" x="4466"/>
        <item m="1" x="4394"/>
        <item m="1" x="4122"/>
        <item m="1" x="4677"/>
        <item m="1" x="4513"/>
        <item m="1" x="1841"/>
        <item m="1" x="4352"/>
        <item m="1" x="4675"/>
        <item m="1" x="750"/>
        <item m="1" x="1734"/>
        <item m="1" x="2717"/>
        <item m="1" x="779"/>
        <item m="1" x="857"/>
        <item m="1" x="1642"/>
        <item m="1" x="2526"/>
        <item m="1" x="3351"/>
        <item m="1" x="1391"/>
        <item m="1" x="3991"/>
        <item m="1" x="4836"/>
        <item m="1" x="4430"/>
        <item m="1" x="3546"/>
        <item m="1" x="2527"/>
        <item m="1" x="907"/>
        <item x="541"/>
        <item m="1" x="2361"/>
        <item m="1" x="2866"/>
        <item m="1" x="743"/>
        <item m="1" x="1814"/>
        <item m="1" x="4009"/>
        <item m="1" x="3691"/>
        <item m="1" x="1220"/>
        <item m="1" x="4854"/>
        <item m="1" x="3905"/>
        <item m="1" x="4789"/>
        <item m="1" x="3221"/>
        <item m="1" x="2870"/>
        <item m="1" x="3360"/>
        <item m="1" x="1778"/>
        <item m="1" x="2995"/>
        <item m="1" x="4057"/>
        <item x="432"/>
        <item m="1" x="1600"/>
        <item m="1" x="4136"/>
        <item m="1" x="1404"/>
        <item x="92"/>
        <item m="1" x="4489"/>
        <item m="1" x="2530"/>
        <item m="1" x="1653"/>
        <item m="1" x="638"/>
        <item m="1" x="3479"/>
        <item m="1" x="2637"/>
        <item m="1" x="823"/>
        <item x="455"/>
        <item m="1" x="2941"/>
        <item m="1" x="1259"/>
        <item m="1" x="1090"/>
        <item m="1" x="4580"/>
        <item m="1" x="4859"/>
        <item m="1" x="824"/>
        <item m="1" x="1615"/>
        <item m="1" x="3944"/>
        <item x="19"/>
        <item x="161"/>
        <item m="1" x="4543"/>
        <item m="1" x="3188"/>
        <item m="1" x="3662"/>
        <item m="1" x="1602"/>
        <item x="578"/>
        <item x="134"/>
        <item m="1" x="745"/>
        <item x="419"/>
        <item m="1" x="2755"/>
        <item m="1" x="1832"/>
        <item m="1" x="2751"/>
        <item m="1" x="4639"/>
        <item m="1" x="1978"/>
        <item m="1" x="1724"/>
        <item m="1" x="3914"/>
        <item x="524"/>
        <item m="1" x="3132"/>
        <item x="160"/>
        <item m="1" x="1842"/>
        <item m="1" x="3500"/>
        <item x="326"/>
        <item m="1" x="837"/>
        <item x="186"/>
        <item m="1" x="3907"/>
        <item m="1" x="1464"/>
        <item m="1" x="3001"/>
        <item m="1" x="1819"/>
        <item m="1" x="926"/>
        <item x="253"/>
        <item m="1" x="2489"/>
        <item m="1" x="1326"/>
        <item m="1" x="4410"/>
        <item m="1" x="4247"/>
        <item m="1" x="3696"/>
        <item m="1" x="709"/>
        <item x="478"/>
        <item x="530"/>
        <item m="1" x="2964"/>
        <item m="1" x="3836"/>
        <item m="1" x="1353"/>
        <item m="1" x="3824"/>
        <item m="1" x="3624"/>
        <item m="1" x="3561"/>
        <item m="1" x="2948"/>
        <item x="276"/>
        <item m="1" x="4741"/>
        <item x="196"/>
        <item m="1" x="3933"/>
        <item m="1" x="2257"/>
        <item m="1" x="2999"/>
        <item m="1" x="3635"/>
        <item x="3"/>
        <item m="1" x="1555"/>
        <item x="388"/>
        <item m="1" x="2495"/>
        <item m="1" x="3082"/>
        <item m="1" x="3101"/>
        <item m="1" x="2605"/>
        <item m="1" x="3898"/>
        <item m="1" x="3986"/>
        <item m="1" x="4191"/>
        <item m="1" x="2181"/>
        <item m="1" x="4629"/>
        <item m="1" x="1552"/>
        <item m="1" x="2239"/>
        <item m="1" x="3181"/>
        <item m="1" x="4922"/>
        <item m="1" x="1173"/>
        <item m="1" x="3579"/>
        <item m="1" x="4532"/>
        <item m="1" x="4287"/>
        <item m="1" x="3466"/>
        <item m="1" x="4111"/>
        <item m="1" x="1939"/>
        <item m="1" x="3922"/>
        <item m="1" x="1438"/>
        <item x="407"/>
        <item m="1" x="4045"/>
        <item m="1" x="704"/>
        <item m="1" x="1154"/>
        <item x="544"/>
        <item m="1" x="3154"/>
        <item m="1" x="1024"/>
        <item m="1" x="1531"/>
        <item m="1" x="1280"/>
        <item m="1" x="3888"/>
        <item m="1" x="1980"/>
        <item m="1" x="4225"/>
        <item m="1" x="4031"/>
        <item m="1" x="1169"/>
        <item m="1" x="4708"/>
        <item x="500"/>
        <item m="1" x="1727"/>
        <item x="101"/>
        <item x="16"/>
        <item m="1" x="2874"/>
        <item m="1" x="2259"/>
        <item m="1" x="1101"/>
        <item m="1" x="1381"/>
        <item m="1" x="2529"/>
        <item x="213"/>
        <item m="1" x="2352"/>
        <item m="1" x="2126"/>
        <item m="1" x="2892"/>
        <item m="1" x="2324"/>
        <item m="1" x="822"/>
        <item m="1" x="1135"/>
        <item m="1" x="3140"/>
        <item x="557"/>
        <item m="1" x="4020"/>
        <item m="1" x="3378"/>
        <item m="1" x="1145"/>
        <item m="1" x="1988"/>
        <item m="1" x="1219"/>
        <item m="1" x="3486"/>
        <item x="334"/>
        <item m="1" x="2742"/>
        <item m="1" x="1022"/>
        <item x="531"/>
        <item m="1" x="4082"/>
        <item m="1" x="3467"/>
        <item m="1" x="3095"/>
        <item m="1" x="1807"/>
        <item m="1" x="3932"/>
        <item m="1" x="1558"/>
        <item m="1" x="3217"/>
        <item m="1" x="4336"/>
        <item m="1" x="1913"/>
        <item m="1" x="1206"/>
        <item m="1" x="3372"/>
        <item x="33"/>
        <item m="1" x="3756"/>
        <item m="1" x="3310"/>
        <item m="1" x="2997"/>
        <item m="1" x="4837"/>
        <item m="1" x="2525"/>
        <item x="519"/>
        <item m="1" x="4604"/>
        <item m="1" x="2232"/>
        <item m="1" x="1111"/>
        <item m="1" x="4871"/>
        <item m="1" x="4590"/>
        <item m="1" x="4727"/>
        <item m="1" x="4401"/>
        <item m="1" x="4199"/>
        <item m="1" x="3853"/>
        <item m="1" x="4342"/>
        <item m="1" x="1949"/>
        <item m="1" x="1682"/>
        <item m="1" x="1456"/>
        <item m="1" x="3778"/>
        <item m="1" x="3200"/>
        <item m="1" x="3120"/>
        <item m="1" x="903"/>
        <item m="1" x="1302"/>
        <item m="1" x="3501"/>
        <item x="117"/>
        <item x="85"/>
        <item x="508"/>
        <item m="1" x="2956"/>
        <item m="1" x="2932"/>
        <item m="1" x="1162"/>
        <item m="1" x="2131"/>
        <item m="1" x="3410"/>
        <item m="1" x="3713"/>
        <item m="1" x="3758"/>
        <item m="1" x="1157"/>
        <item m="1" x="2227"/>
        <item m="1" x="2857"/>
        <item m="1" x="1097"/>
        <item m="1" x="4134"/>
        <item m="1" x="3413"/>
        <item m="1" x="1838"/>
        <item m="1" x="2335"/>
        <item m="1" x="3573"/>
        <item x="139"/>
        <item m="1" x="1522"/>
        <item m="1" x="2124"/>
        <item m="1" x="3099"/>
        <item m="1" x="2298"/>
        <item m="1" x="2279"/>
        <item m="1" x="4684"/>
        <item m="1" x="4387"/>
        <item m="1" x="1890"/>
        <item x="28"/>
        <item m="1" x="3061"/>
        <item m="1" x="4589"/>
        <item m="1" x="4458"/>
        <item m="1" x="2821"/>
        <item m="1" x="920"/>
        <item m="1" x="2049"/>
        <item x="297"/>
        <item x="364"/>
        <item m="1" x="1394"/>
        <item m="1" x="858"/>
        <item m="1" x="3912"/>
        <item m="1" x="4128"/>
        <item m="1" x="2433"/>
        <item x="358"/>
        <item x="368"/>
        <item m="1" x="4951"/>
        <item m="1" x="3037"/>
        <item m="1" x="3274"/>
        <item m="1" x="2086"/>
        <item m="1" x="3637"/>
        <item m="1" x="1668"/>
        <item m="1" x="1329"/>
        <item x="281"/>
        <item x="337"/>
        <item m="1" x="2085"/>
        <item m="1" x="649"/>
        <item m="1" x="1319"/>
        <item m="1" x="1914"/>
        <item m="1" x="1551"/>
        <item m="1" x="1525"/>
        <item m="1" x="2258"/>
        <item m="1" x="3262"/>
        <item m="1" x="3197"/>
        <item x="521"/>
        <item m="1" x="3679"/>
        <item m="1" x="4053"/>
        <item x="282"/>
        <item m="1" x="1583"/>
        <item m="1" x="4961"/>
        <item m="1" x="4120"/>
        <item m="1" x="3900"/>
        <item m="1" x="3856"/>
        <item m="1" x="1351"/>
        <item m="1" x="4816"/>
        <item m="1" x="2280"/>
        <item m="1" x="2622"/>
        <item m="1" x="4889"/>
        <item m="1" x="3349"/>
        <item m="1" x="3744"/>
        <item m="1" x="2688"/>
        <item m="1" x="4069"/>
        <item x="462"/>
        <item m="1" x="2036"/>
        <item m="1" x="3025"/>
        <item m="1" x="1422"/>
        <item m="1" x="1075"/>
        <item m="1" x="1950"/>
        <item m="1" x="2466"/>
        <item m="1" x="2704"/>
        <item m="1" x="2037"/>
        <item m="1" x="874"/>
        <item m="1" x="872"/>
        <item m="1" x="4003"/>
        <item m="1" x="2938"/>
        <item m="1" x="1687"/>
        <item m="1" x="2819"/>
        <item m="1" x="1592"/>
        <item m="1" x="2201"/>
        <item m="1" x="4455"/>
        <item m="1" x="1688"/>
        <item m="1" x="1293"/>
        <item m="1" x="3259"/>
        <item m="1" x="2699"/>
        <item m="1" x="4402"/>
        <item m="1" x="2534"/>
        <item m="1" x="2632"/>
        <item m="1" x="4282"/>
        <item m="1" x="1359"/>
        <item m="1" x="1409"/>
        <item m="1" x="1207"/>
        <item m="1" x="4101"/>
        <item m="1" x="3087"/>
        <item m="1" x="2767"/>
        <item m="1" x="2028"/>
        <item m="1" x="1516"/>
        <item x="252"/>
        <item m="1" x="4370"/>
        <item m="1" x="2497"/>
        <item m="1" x="1226"/>
        <item m="1" x="2155"/>
        <item m="1" x="2731"/>
        <item m="1" x="1217"/>
        <item x="204"/>
        <item m="1" x="2789"/>
        <item m="1" x="4060"/>
        <item m="1" x="3384"/>
        <item x="515"/>
        <item m="1" x="2900"/>
        <item m="1" x="686"/>
        <item m="1" x="3398"/>
        <item m="1" x="3890"/>
        <item m="1" x="2631"/>
        <item m="1" x="4587"/>
        <item m="1" x="1953"/>
        <item m="1" x="4856"/>
        <item x="450"/>
        <item m="1" x="3098"/>
        <item m="1" x="3585"/>
        <item x="437"/>
        <item m="1" x="4703"/>
        <item m="1" x="4668"/>
        <item m="1" x="887"/>
        <item m="1" x="2222"/>
        <item x="48"/>
        <item m="1" x="4893"/>
        <item m="1" x="2581"/>
        <item m="1" x="1459"/>
        <item m="1" x="4145"/>
        <item m="1" x="2286"/>
        <item m="1" x="3042"/>
        <item m="1" x="736"/>
        <item m="1" x="4230"/>
        <item m="1" x="2216"/>
        <item m="1" x="1125"/>
        <item m="1" x="3248"/>
        <item m="1" x="2337"/>
        <item m="1" x="3127"/>
        <item m="1" x="1407"/>
        <item m="1" x="3050"/>
        <item m="1" x="2851"/>
        <item m="1" x="4360"/>
        <item m="1" x="3631"/>
        <item m="1" x="4706"/>
        <item m="1" x="2288"/>
        <item m="1" x="2441"/>
        <item m="1" x="2319"/>
        <item x="241"/>
        <item x="126"/>
        <item m="1" x="4456"/>
        <item m="1" x="4649"/>
        <item m="1" x="4011"/>
        <item m="1" x="701"/>
        <item m="1" x="4647"/>
        <item m="1" x="2448"/>
        <item x="289"/>
        <item x="218"/>
        <item m="1" x="3850"/>
        <item m="1" x="1581"/>
        <item m="1" x="3344"/>
        <item m="1" x="615"/>
        <item m="1" x="3301"/>
        <item m="1" x="1922"/>
        <item m="1" x="4823"/>
        <item m="1" x="2048"/>
        <item m="1" x="842"/>
        <item m="1" x="2859"/>
        <item m="1" x="3574"/>
        <item m="1" x="3859"/>
        <item m="1" x="904"/>
        <item m="1" x="2372"/>
        <item m="1" x="1630"/>
        <item m="1" x="2393"/>
        <item m="1" x="2733"/>
        <item m="1" x="3524"/>
        <item m="1" x="1044"/>
        <item m="1" x="2030"/>
        <item m="1" x="1629"/>
        <item m="1" x="4073"/>
        <item m="1" x="4711"/>
        <item m="1" x="4229"/>
        <item m="1" x="2515"/>
        <item m="1" x="4891"/>
        <item m="1" x="2554"/>
        <item m="1" x="3036"/>
        <item m="1" x="3245"/>
        <item m="1" x="1466"/>
        <item m="1" x="4474"/>
        <item x="447"/>
        <item x="201"/>
        <item m="1" x="4263"/>
        <item m="1" x="4157"/>
        <item m="1" x="4151"/>
        <item m="1" x="2066"/>
        <item m="1" x="3131"/>
        <item m="1" x="3021"/>
        <item m="1" x="2490"/>
        <item x="221"/>
        <item m="1" x="2966"/>
        <item m="1" x="4940"/>
        <item m="1" x="4364"/>
        <item m="1" x="3451"/>
        <item m="1" x="2377"/>
        <item m="1" x="2034"/>
        <item m="1" x="1457"/>
        <item m="1" x="2262"/>
        <item m="1" x="4278"/>
        <item m="1" x="4768"/>
        <item m="1" x="2684"/>
        <item m="1" x="3997"/>
        <item m="1" x="1828"/>
        <item m="1" x="3321"/>
        <item m="1" x="4051"/>
        <item m="1" x="720"/>
        <item m="1" x="2707"/>
        <item m="1" x="2316"/>
        <item m="1" x="1012"/>
        <item m="1" x="2872"/>
        <item m="1" x="1697"/>
        <item x="258"/>
        <item m="1" x="2172"/>
        <item m="1" x="948"/>
        <item m="1" x="3107"/>
        <item m="1" x="2806"/>
        <item m="1" x="4939"/>
        <item x="346"/>
        <item m="1" x="611"/>
        <item m="1" x="4762"/>
        <item m="1" x="2737"/>
        <item m="1" x="1324"/>
        <item m="1" x="3439"/>
        <item x="397"/>
        <item m="1" x="4753"/>
        <item m="1" x="2842"/>
        <item m="1" x="3730"/>
        <item m="1" x="1016"/>
        <item m="1" x="3508"/>
        <item m="1" x="3094"/>
        <item x="330"/>
        <item m="1" x="2421"/>
        <item m="1" x="1909"/>
        <item m="1" x="1255"/>
        <item m="1" x="4665"/>
        <item m="1" x="2271"/>
        <item m="1" x="3940"/>
        <item m="1" x="2706"/>
        <item m="1" x="621"/>
        <item m="1" x="2972"/>
        <item m="1" x="2614"/>
        <item m="1" x="4452"/>
        <item m="1" x="3537"/>
        <item x="214"/>
        <item m="1" x="2760"/>
        <item m="1" x="4416"/>
        <item m="1" x="3149"/>
        <item m="1" x="4825"/>
        <item m="1" x="3770"/>
        <item x="172"/>
        <item m="1" x="4742"/>
        <item m="1" x="4952"/>
        <item m="1" x="2720"/>
        <item m="1" x="4695"/>
        <item m="1" x="4308"/>
        <item m="1" x="1245"/>
        <item m="1" x="1998"/>
        <item m="1" x="4305"/>
        <item m="1" x="2824"/>
        <item m="1" x="4404"/>
        <item x="454"/>
        <item m="1" x="4954"/>
        <item m="1" x="4606"/>
        <item m="1" x="4375"/>
        <item m="1" x="1639"/>
        <item m="1" x="4569"/>
        <item m="1" x="3399"/>
        <item m="1" x="4834"/>
        <item m="1" x="3663"/>
        <item m="1" x="3436"/>
        <item m="1" x="4393"/>
        <item m="1" x="1395"/>
        <item x="197"/>
        <item m="1" x="4660"/>
        <item m="1" x="947"/>
        <item m="1" x="4309"/>
        <item m="1" x="3064"/>
        <item m="1" x="1517"/>
        <item m="1" x="3652"/>
        <item m="1" x="1533"/>
        <item m="1" x="1549"/>
        <item m="1" x="1811"/>
        <item m="1" x="3868"/>
        <item m="1" x="1282"/>
        <item m="1" x="3317"/>
        <item m="1" x="4632"/>
        <item m="1" x="4967"/>
        <item m="1" x="2212"/>
        <item m="1" x="3738"/>
        <item m="1" x="3881"/>
        <item m="1" x="4749"/>
        <item m="1" x="3766"/>
        <item m="1" x="4616"/>
        <item m="1" x="2269"/>
        <item m="1" x="2649"/>
        <item m="1" x="4861"/>
        <item m="1" x="3345"/>
        <item x="14"/>
        <item m="1" x="4140"/>
        <item m="1" x="734"/>
        <item m="1" x="4181"/>
        <item m="1" x="3033"/>
        <item m="1" x="1863"/>
        <item x="183"/>
        <item m="1" x="4325"/>
        <item m="1" x="4434"/>
        <item m="1" x="1582"/>
        <item m="1" x="1059"/>
        <item m="1" x="2519"/>
        <item m="1" x="4523"/>
        <item m="1" x="2590"/>
        <item x="242"/>
        <item m="1" x="895"/>
        <item m="1" x="4350"/>
        <item m="1" x="1540"/>
        <item m="1" x="1903"/>
        <item x="362"/>
        <item m="1" x="4150"/>
        <item m="1" x="1731"/>
        <item m="1" x="1526"/>
        <item m="1" x="1468"/>
        <item m="1" x="3386"/>
        <item m="1" x="666"/>
        <item m="1" x="1885"/>
        <item m="1" x="2363"/>
        <item m="1" x="1574"/>
        <item m="1" x="1993"/>
        <item x="50"/>
        <item x="140"/>
        <item m="1" x="3464"/>
        <item m="1" x="1801"/>
        <item x="540"/>
        <item m="1" x="654"/>
        <item m="1" x="794"/>
        <item m="1" x="3786"/>
        <item m="1" x="929"/>
        <item m="1" x="622"/>
        <item m="1" x="4985"/>
        <item m="1" x="1825"/>
        <item m="1" x="4299"/>
        <item m="1" x="1198"/>
        <item m="1" x="2709"/>
        <item m="1" x="1897"/>
        <item m="1" x="2710"/>
        <item m="1" x="1674"/>
        <item m="1" x="2817"/>
        <item m="1" x="1265"/>
        <item m="1" x="1711"/>
        <item m="1" x="956"/>
        <item m="1" x="3427"/>
        <item m="1" x="1253"/>
        <item m="1" x="3142"/>
        <item m="1" x="1772"/>
        <item m="1" x="2613"/>
        <item m="1" x="1756"/>
        <item m="1" x="4646"/>
        <item m="1" x="4721"/>
        <item m="1" x="2404"/>
        <item m="1" x="2660"/>
        <item m="1" x="4786"/>
        <item m="1" x="3654"/>
        <item m="1" x="1790"/>
        <item x="46"/>
        <item m="1" x="4845"/>
        <item m="1" x="3760"/>
        <item m="1" x="4366"/>
        <item m="1" x="4906"/>
        <item m="1" x="4716"/>
        <item m="1" x="2620"/>
        <item m="1" x="3421"/>
        <item m="1" x="4554"/>
        <item m="1" x="2188"/>
        <item m="1" x="3309"/>
        <item m="1" x="3419"/>
        <item m="1" x="2695"/>
        <item m="1" x="2491"/>
        <item m="1" x="4244"/>
        <item x="399"/>
        <item x="489"/>
        <item m="1" x="3531"/>
        <item m="1" x="2195"/>
        <item m="1" x="1774"/>
        <item m="1" x="3653"/>
        <item m="1" x="2721"/>
        <item m="1" x="4099"/>
        <item m="1" x="1975"/>
        <item x="404"/>
        <item m="1" x="4383"/>
        <item m="1" x="1087"/>
        <item m="1" x="3342"/>
        <item m="1" x="774"/>
        <item m="1" x="4185"/>
        <item m="1" x="4396"/>
        <item x="545"/>
        <item m="1" x="4621"/>
        <item m="1" x="4793"/>
        <item m="1" x="1703"/>
        <item x="313"/>
        <item m="1" x="1896"/>
        <item m="1" x="1130"/>
        <item x="572"/>
        <item m="1" x="4737"/>
        <item m="1" x="653"/>
        <item m="1" x="4233"/>
        <item m="1" x="1037"/>
        <item m="1" x="2446"/>
        <item x="527"/>
        <item m="1" x="4413"/>
        <item m="1" x="2109"/>
        <item m="1" x="1033"/>
        <item m="1" x="4842"/>
        <item m="1" x="647"/>
        <item m="1" x="2221"/>
        <item m="1" x="2927"/>
        <item m="1" x="1428"/>
        <item m="1" x="4881"/>
        <item m="1" x="1787"/>
        <item m="1" x="2107"/>
        <item m="1" x="1314"/>
        <item x="9"/>
        <item m="1" x="2416"/>
        <item m="1" x="2994"/>
        <item m="1" x="3925"/>
        <item m="1" x="994"/>
        <item m="1" x="3547"/>
        <item x="211"/>
        <item m="1" x="924"/>
        <item m="1" x="3489"/>
        <item m="1" x="3121"/>
        <item m="1" x="4110"/>
        <item m="1" x="2739"/>
        <item m="1" x="2784"/>
        <item m="1" x="3984"/>
        <item m="1" x="2551"/>
        <item m="1" x="4643"/>
        <item m="1" x="4717"/>
        <item m="1" x="2018"/>
        <item m="1" x="3722"/>
        <item m="1" x="1571"/>
        <item m="1" x="1176"/>
        <item m="1" x="2083"/>
        <item m="1" x="1938"/>
        <item m="1" x="2260"/>
        <item m="1" x="1373"/>
        <item m="1" x="3745"/>
        <item m="1" x="2659"/>
        <item m="1" x="2294"/>
        <item m="1" x="3998"/>
        <item m="1" x="4613"/>
        <item x="158"/>
        <item x="10"/>
        <item m="1" x="3134"/>
        <item x="12"/>
        <item m="1" x="2134"/>
        <item m="1" x="2539"/>
        <item m="1" x="1121"/>
        <item m="1" x="2440"/>
        <item x="596"/>
        <item m="1" x="2666"/>
        <item m="1" x="656"/>
        <item m="1" x="2983"/>
        <item m="1" x="2289"/>
        <item m="1" x="3916"/>
        <item m="1" x="4575"/>
        <item m="1" x="2044"/>
        <item m="1" x="4211"/>
        <item m="1" x="3179"/>
        <item m="1" x="2992"/>
        <item m="1" x="1221"/>
        <item m="1" x="1680"/>
        <item m="1" x="3575"/>
        <item m="1" x="3563"/>
        <item m="1" x="4944"/>
        <item m="1" x="2593"/>
        <item m="1" x="788"/>
        <item x="159"/>
        <item x="225"/>
        <item m="1" x="3534"/>
        <item m="1" x="3114"/>
        <item x="223"/>
        <item m="1" x="880"/>
        <item m="1" x="715"/>
        <item m="1" x="4222"/>
        <item m="1" x="1211"/>
        <item m="1" x="1350"/>
        <item m="1" x="815"/>
        <item m="1" x="863"/>
        <item m="1" x="2272"/>
        <item m="1" x="2418"/>
        <item m="1" x="2250"/>
        <item m="1" x="3788"/>
        <item m="1" x="2424"/>
        <item m="1" x="2501"/>
        <item m="1" x="4205"/>
        <item m="1" x="1732"/>
        <item m="1" x="2636"/>
        <item m="1" x="2371"/>
        <item m="1" x="3463"/>
        <item m="1" x="4361"/>
        <item x="110"/>
        <item m="1" x="2204"/>
        <item m="1" x="665"/>
        <item m="1" x="1848"/>
        <item x="123"/>
        <item m="1" x="962"/>
        <item m="1" x="3377"/>
        <item m="1" x="2287"/>
        <item m="1" x="2621"/>
        <item m="1" x="3805"/>
        <item m="1" x="3837"/>
        <item m="1" x="2362"/>
        <item x="57"/>
        <item m="1" x="4570"/>
        <item m="1" x="4221"/>
        <item m="1" x="2096"/>
        <item m="1" x="1719"/>
        <item m="1" x="4908"/>
        <item m="1" x="3080"/>
        <item m="1" x="2571"/>
        <item m="1" x="3175"/>
        <item m="1" x="4846"/>
        <item m="1" x="2848"/>
        <item m="1" x="3621"/>
        <item m="1" x="1421"/>
        <item m="1" x="1880"/>
        <item m="1" x="1643"/>
        <item x="319"/>
        <item m="1" x="2233"/>
        <item m="1" x="1556"/>
        <item m="1" x="4141"/>
        <item m="1" x="3263"/>
        <item m="1" x="2183"/>
        <item m="1" x="3568"/>
        <item m="1" x="3960"/>
        <item m="1" x="3688"/>
        <item m="1" x="3240"/>
        <item m="1" x="1446"/>
        <item m="1" x="722"/>
        <item m="1" x="3887"/>
        <item m="1" x="1626"/>
        <item m="1" x="3239"/>
        <item m="1" x="2020"/>
        <item m="1" x="3751"/>
        <item m="1" x="4652"/>
        <item m="1" x="3503"/>
        <item m="1" x="2017"/>
        <item m="1" x="1830"/>
        <item m="1" x="2521"/>
        <item m="1" x="2484"/>
        <item m="1" x="662"/>
        <item m="1" x="1444"/>
        <item m="1" x="4540"/>
        <item m="1" x="1658"/>
        <item m="1" x="900"/>
        <item m="1" x="3625"/>
        <item m="1" x="4295"/>
        <item m="1" x="2091"/>
        <item m="1" x="4730"/>
        <item m="1" x="1826"/>
        <item x="185"/>
        <item m="1" x="3643"/>
        <item m="1" x="1406"/>
        <item m="1" x="1960"/>
        <item x="538"/>
        <item m="1" x="3918"/>
        <item m="1" x="2890"/>
        <item m="1" x="1281"/>
        <item m="1" x="3096"/>
        <item m="1" x="1666"/>
        <item m="1" x="4596"/>
        <item m="1" x="2991"/>
        <item m="1" x="1995"/>
        <item x="135"/>
        <item x="102"/>
        <item m="1" x="4323"/>
        <item m="1" x="3407"/>
        <item m="1" x="4806"/>
        <item m="1" x="3793"/>
        <item m="1" x="4236"/>
        <item m="1" x="2378"/>
        <item m="1" x="1429"/>
        <item m="1" x="1876"/>
        <item m="1" x="3605"/>
        <item m="1" x="3118"/>
        <item m="1" x="2470"/>
        <item m="1" x="2121"/>
        <item m="1" x="4125"/>
        <item m="1" x="1567"/>
        <item m="1" x="4901"/>
        <item m="1" x="4567"/>
        <item x="449"/>
        <item x="266"/>
        <item x="38"/>
        <item m="1" x="4921"/>
        <item m="1" x="2009"/>
        <item m="1" x="2578"/>
        <item m="1" x="3645"/>
        <item m="1" x="3038"/>
        <item m="1" x="1401"/>
        <item m="1" x="2462"/>
        <item m="1" x="4783"/>
        <item x="250"/>
        <item m="1" x="2618"/>
        <item m="1" x="4669"/>
        <item m="1" x="4417"/>
        <item m="1" x="2863"/>
        <item m="1" x="879"/>
        <item m="1" x="4479"/>
        <item x="122"/>
        <item m="1" x="4819"/>
        <item m="1" x="2166"/>
        <item m="1" x="2478"/>
        <item m="1" x="1701"/>
        <item m="1" x="831"/>
        <item m="1" x="4500"/>
        <item m="1" x="1011"/>
        <item x="425"/>
        <item m="1" x="690"/>
        <item x="264"/>
        <item x="124"/>
        <item m="1" x="2608"/>
        <item m="1" x="3826"/>
        <item m="1" x="2929"/>
        <item x="402"/>
        <item x="76"/>
        <item m="1" x="4916"/>
        <item x="255"/>
        <item m="1" x="3970"/>
        <item x="59"/>
        <item x="97"/>
        <item m="1" x="2768"/>
        <item m="1" x="1161"/>
        <item m="1" x="3370"/>
        <item m="1" x="2985"/>
        <item m="1" x="3141"/>
        <item x="496"/>
        <item m="1" x="2357"/>
        <item x="175"/>
        <item m="1" x="2549"/>
        <item m="1" x="1267"/>
        <item m="1" x="1679"/>
        <item m="1" x="2041"/>
        <item m="1" x="630"/>
        <item x="532"/>
        <item m="1" x="3929"/>
        <item m="1" x="1291"/>
        <item m="1" x="3393"/>
        <item m="1" x="3799"/>
        <item m="1" x="1257"/>
        <item m="1" x="3860"/>
        <item m="1" x="3670"/>
        <item m="1" x="2339"/>
        <item m="1" x="2460"/>
        <item m="1" x="2595"/>
        <item x="25"/>
        <item m="1" x="1193"/>
        <item x="452"/>
        <item m="1" x="1080"/>
        <item x="72"/>
        <item m="1" x="1005"/>
        <item m="1" x="1026"/>
        <item x="549"/>
        <item m="1" x="4529"/>
        <item m="1" x="3833"/>
        <item m="1" x="3157"/>
        <item m="1" x="2453"/>
        <item m="1" x="1452"/>
        <item m="1" x="3818"/>
        <item m="1" x="2761"/>
        <item x="202"/>
        <item m="1" x="1829"/>
        <item m="1" x="3364"/>
        <item m="1" x="4930"/>
        <item m="1" x="3387"/>
        <item m="1" x="2572"/>
        <item m="1" x="889"/>
        <item x="363"/>
        <item m="1" x="1562"/>
        <item x="4"/>
        <item m="1" x="2000"/>
        <item m="1" x="3493"/>
        <item m="1" x="3138"/>
        <item m="1" x="4637"/>
        <item m="1" x="1760"/>
        <item m="1" x="2705"/>
        <item m="1" x="1410"/>
        <item m="1" x="2366"/>
        <item m="1" x="4088"/>
        <item m="1" x="4374"/>
        <item m="1" x="1915"/>
        <item x="47"/>
        <item m="1" x="4333"/>
        <item m="1" x="2754"/>
        <item m="1" x="1821"/>
        <item m="1" x="1056"/>
        <item m="1" x="2813"/>
        <item x="564"/>
        <item m="1" x="707"/>
        <item m="1" x="1509"/>
        <item m="1" x="1768"/>
        <item m="1" x="4536"/>
        <item m="1" x="1738"/>
        <item m="1" x="1769"/>
        <item m="1" x="3034"/>
        <item m="1" x="4256"/>
        <item m="1" x="1363"/>
        <item m="1" x="1991"/>
        <item m="1" x="4623"/>
        <item m="1" x="2224"/>
        <item m="1" x="2449"/>
        <item m="1" x="4179"/>
        <item m="1" x="2500"/>
        <item m="1" x="2276"/>
        <item m="1" x="2282"/>
        <item m="1" x="4080"/>
        <item m="1" x="1770"/>
        <item x="409"/>
        <item m="1" x="3708"/>
        <item m="1" x="1405"/>
        <item m="1" x="4441"/>
        <item m="1" x="3195"/>
        <item m="1" x="4258"/>
        <item m="1" x="4740"/>
        <item m="1" x="3499"/>
        <item x="226"/>
        <item m="1" x="2812"/>
        <item x="323"/>
        <item m="1" x="2850"/>
        <item m="1" x="2617"/>
        <item m="1" x="2247"/>
        <item m="1" x="4686"/>
        <item m="1" x="2323"/>
        <item m="1" x="4154"/>
        <item m="1" x="1843"/>
        <item m="1" x="1040"/>
        <item m="1" x="3214"/>
        <item m="1" x="3299"/>
        <item m="1" x="4519"/>
        <item m="1" x="4841"/>
        <item m="1" x="3646"/>
        <item m="1" x="4168"/>
        <item m="1" x="1818"/>
        <item x="51"/>
        <item m="1" x="4508"/>
        <item m="1" x="3834"/>
        <item x="465"/>
        <item m="1" x="1907"/>
        <item x="194"/>
        <item m="1" x="1793"/>
        <item m="1" x="3206"/>
        <item m="1" x="1112"/>
        <item m="1" x="3581"/>
        <item m="1" x="2918"/>
        <item m="1" x="4050"/>
        <item m="1" x="4447"/>
        <item m="1" x="2365"/>
        <item m="1" x="1617"/>
        <item m="1" x="1467"/>
        <item m="1" x="2980"/>
        <item m="1" x="3634"/>
        <item m="1" x="1726"/>
        <item x="302"/>
        <item x="555"/>
        <item m="1" x="2011"/>
        <item x="121"/>
        <item m="1" x="3264"/>
        <item m="1" x="3155"/>
        <item m="1" x="1188"/>
        <item m="1" x="4126"/>
        <item x="338"/>
        <item m="1" x="4314"/>
        <item m="1" x="3956"/>
        <item x="473"/>
        <item x="100"/>
        <item x="380"/>
        <item m="1" x="2931"/>
        <item m="1" x="1413"/>
        <item m="1" x="4573"/>
        <item m="1" x="4066"/>
        <item m="1" x="1175"/>
        <item m="1" x="4464"/>
        <item m="1" x="2403"/>
        <item m="1" x="2255"/>
        <item m="1" x="1298"/>
        <item m="1" x="2119"/>
        <item m="1" x="1610"/>
        <item m="1" x="3698"/>
        <item m="1" x="4644"/>
        <item m="1" x="4935"/>
        <item m="1" x="3180"/>
        <item m="1" x="4321"/>
        <item m="1" x="2800"/>
        <item m="1" x="2174"/>
        <item m="1" x="989"/>
        <item m="1" x="4504"/>
        <item m="1" x="1899"/>
        <item m="1" x="4317"/>
        <item x="260"/>
        <item m="1" x="2023"/>
        <item m="1" x="3075"/>
        <item m="1" x="3210"/>
        <item m="1" x="3158"/>
        <item m="1" x="2425"/>
        <item m="1" x="1187"/>
        <item m="1" x="3502"/>
        <item m="1" x="1425"/>
        <item m="1" x="708"/>
        <item m="1" x="4388"/>
        <item m="1" x="1455"/>
        <item m="1" x="4617"/>
        <item m="1" x="3752"/>
        <item x="476"/>
        <item x="536"/>
        <item m="1" x="2402"/>
        <item m="1" x="4568"/>
        <item m="1" x="3046"/>
        <item m="1" x="3334"/>
        <item x="562"/>
        <item x="23"/>
        <item m="1" x="1654"/>
        <item m="1" x="4772"/>
        <item m="1" x="2407"/>
        <item m="1" x="1747"/>
        <item m="1" x="2158"/>
        <item x="533"/>
        <item x="293"/>
        <item x="170"/>
        <item m="1" x="4487"/>
        <item m="1" x="3796"/>
        <item x="474"/>
        <item m="1" x="3664"/>
        <item m="1" x="4909"/>
        <item m="1" x="4068"/>
        <item m="1" x="2788"/>
        <item m="1" x="3587"/>
        <item m="1" x="899"/>
        <item m="1" x="1504"/>
        <item m="1" x="4381"/>
        <item m="1" x="3056"/>
        <item x="370"/>
        <item x="510"/>
        <item m="1" x="3474"/>
        <item m="1" x="4890"/>
        <item m="1" x="1931"/>
        <item m="1" x="4252"/>
        <item m="1" x="1501"/>
        <item m="1" x="1616"/>
        <item m="1" x="3798"/>
        <item m="1" x="2596"/>
        <item m="1" x="901"/>
        <item m="1" x="1332"/>
        <item m="1" x="3865"/>
        <item m="1" x="4738"/>
        <item m="1" x="3718"/>
        <item m="1" x="2428"/>
        <item m="1" x="2300"/>
        <item x="58"/>
        <item m="1" x="4329"/>
        <item m="1" x="2609"/>
        <item m="1" x="1587"/>
        <item m="1" x="4946"/>
        <item m="1" x="2701"/>
        <item m="1" x="1990"/>
        <item m="1" x="3129"/>
        <item m="1" x="2771"/>
        <item m="1" x="2917"/>
        <item m="1" x="2414"/>
        <item m="1" x="2376"/>
        <item x="417"/>
        <item m="1" x="2582"/>
        <item m="1" x="2243"/>
        <item m="1" x="3311"/>
        <item m="1" x="1448"/>
        <item m="1" x="2012"/>
        <item m="1" x="3272"/>
        <item m="1" x="1002"/>
        <item x="513"/>
        <item m="1" x="2989"/>
        <item x="464"/>
        <item m="1" x="3346"/>
        <item m="1" x="2661"/>
        <item m="1" x="3011"/>
        <item m="1" x="4047"/>
        <item m="1" x="3168"/>
        <item x="8"/>
        <item m="1" x="2073"/>
        <item m="1" x="2003"/>
        <item m="1" x="814"/>
        <item x="188"/>
        <item m="1" x="3622"/>
        <item m="1" x="1685"/>
        <item m="1" x="1589"/>
        <item m="1" x="1146"/>
        <item m="1" x="3367"/>
        <item m="1" x="4603"/>
        <item m="1" x="3496"/>
        <item m="1" x="1229"/>
        <item m="1" x="1388"/>
        <item m="1" x="1925"/>
        <item x="336"/>
        <item m="1" x="4431"/>
        <item m="1" x="4618"/>
        <item m="1" x="2668"/>
        <item m="1" x="4503"/>
        <item m="1" x="2147"/>
        <item m="1" x="2081"/>
        <item x="53"/>
        <item m="1" x="1593"/>
        <item m="1" x="3057"/>
        <item m="1" x="3675"/>
        <item x="325"/>
        <item x="182"/>
        <item m="1" x="4714"/>
        <item m="1" x="2869"/>
        <item m="1" x="4726"/>
        <item x="523"/>
        <item m="1" x="2067"/>
        <item m="1" x="4615"/>
        <item m="1" x="713"/>
        <item m="1" x="3807"/>
        <item m="1" x="4868"/>
        <item x="468"/>
        <item m="1" x="2524"/>
        <item m="1" x="651"/>
        <item m="1" x="2130"/>
        <item x="229"/>
        <item x="176"/>
        <item m="1" x="1137"/>
        <item m="1" x="2162"/>
        <item m="1" x="3012"/>
        <item m="1" x="3469"/>
        <item m="1" x="1651"/>
        <item m="1" x="2611"/>
        <item m="1" x="3186"/>
        <item x="62"/>
        <item x="360"/>
        <item m="1" x="4705"/>
        <item x="215"/>
        <item m="1" x="914"/>
        <item m="1" x="2778"/>
        <item m="1" x="1631"/>
        <item m="1" x="1608"/>
        <item m="1" x="2270"/>
        <item m="1" x="2583"/>
        <item m="1" x="2971"/>
        <item m="1" x="1367"/>
        <item m="1" x="4680"/>
        <item m="1" x="3800"/>
        <item m="1" x="1312"/>
        <item m="1" x="3455"/>
        <item m="1" x="2235"/>
        <item m="1" x="1678"/>
        <item m="1" x="4797"/>
        <item m="1" x="1494"/>
        <item m="1" x="1066"/>
        <item x="32"/>
        <item m="1" x="4800"/>
        <item m="1" x="4805"/>
        <item m="1" x="4155"/>
        <item x="442"/>
        <item m="1" x="2912"/>
        <item x="199"/>
        <item m="1" x="4984"/>
        <item m="1" x="2314"/>
        <item m="1" x="3823"/>
        <item x="392"/>
        <item m="1" x="639"/>
        <item m="1" x="1692"/>
        <item m="1" x="4657"/>
        <item x="280"/>
        <item x="342"/>
        <item m="1" x="3968"/>
        <item m="1" x="4905"/>
        <item m="1" x="3993"/>
        <item m="1" x="1792"/>
        <item m="1" x="1462"/>
        <item x="341"/>
        <item m="1" x="4980"/>
        <item m="1" x="3446"/>
        <item m="1" x="2299"/>
        <item m="1" x="3105"/>
        <item m="1" x="4851"/>
        <item x="230"/>
        <item m="1" x="4725"/>
        <item m="1" x="733"/>
        <item m="1" x="2936"/>
        <item m="1" x="4276"/>
        <item m="1" x="3996"/>
        <item m="1" x="2982"/>
        <item m="1" x="2226"/>
        <item m="1" x="3316"/>
        <item m="1" x="2809"/>
        <item m="1" x="3498"/>
        <item m="1" x="4492"/>
        <item m="1" x="4696"/>
        <item m="1" x="1733"/>
        <item m="1" x="3521"/>
        <item m="1" x="1021"/>
        <item m="1" x="4874"/>
        <item m="1" x="3835"/>
        <item m="1" x="1921"/>
        <item m="1" x="681"/>
        <item m="1" x="3103"/>
        <item m="1" x="1304"/>
        <item m="1" x="2178"/>
        <item m="1" x="4390"/>
        <item m="1" x="2445"/>
        <item m="1" x="1621"/>
        <item m="1" x="2862"/>
        <item m="1" x="4539"/>
        <item m="1" x="1317"/>
        <item m="1" x="3055"/>
        <item x="387"/>
        <item m="1" x="3173"/>
        <item m="1" x="2264"/>
        <item m="1" x="4005"/>
        <item m="1" x="3883"/>
        <item m="1" x="2219"/>
        <item m="1" x="2452"/>
        <item m="1" x="1086"/>
        <item m="1" x="4351"/>
        <item m="1" x="1961"/>
        <item m="1" x="2838"/>
        <item m="1" x="2136"/>
        <item m="1" x="1419"/>
        <item m="1" x="1715"/>
        <item x="245"/>
        <item m="1" x="3719"/>
        <item m="1" x="1107"/>
        <item m="1" x="1168"/>
        <item m="1" x="2237"/>
        <item m="1" x="4437"/>
        <item m="1" x="4260"/>
        <item m="1" x="3330"/>
        <item x="486"/>
        <item m="1" x="3806"/>
        <item m="1" x="1905"/>
        <item m="1" x="1416"/>
        <item m="1" x="3867"/>
        <item m="1" x="2648"/>
        <item m="1" x="2027"/>
        <item m="1" x="2140"/>
        <item x="534"/>
        <item m="1" x="696"/>
        <item m="1" x="2004"/>
        <item m="1" x="3473"/>
        <item m="1" x="4443"/>
        <item m="1" x="3236"/>
        <item x="324"/>
        <item m="1" x="2432"/>
        <item m="1" x="2231"/>
        <item m="1" x="3629"/>
        <item m="1" x="954"/>
        <item m="1" x="2591"/>
        <item m="1" x="764"/>
        <item m="1" x="3052"/>
        <item m="1" x="1043"/>
        <item m="1" x="753"/>
        <item m="1" x="2059"/>
        <item m="1" x="4807"/>
        <item m="1" x="4779"/>
        <item m="1" x="2651"/>
        <item m="1" x="1911"/>
        <item m="1" x="3727"/>
        <item m="1" x="4770"/>
        <item m="1" x="3102"/>
        <item m="1" x="976"/>
        <item x="128"/>
        <item m="1" x="1231"/>
        <item m="1" x="4516"/>
        <item m="1" x="4349"/>
        <item m="1" x="2879"/>
        <item m="1" x="2161"/>
        <item m="1" x="1505"/>
        <item m="1" x="2295"/>
        <item m="1" x="3481"/>
        <item m="1" x="1450"/>
        <item m="1" x="2840"/>
        <item m="1" x="946"/>
        <item m="1" x="3388"/>
        <item m="1" x="944"/>
        <item m="1" x="2007"/>
        <item m="1" x="2766"/>
        <item m="1" x="2743"/>
        <item m="1" x="3847"/>
        <item m="1" x="4238"/>
        <item m="1" x="4609"/>
        <item m="1" x="3276"/>
        <item m="1" x="2429"/>
        <item x="155"/>
        <item x="479"/>
        <item m="1" x="3323"/>
        <item m="1" x="3047"/>
        <item m="1" x="2829"/>
        <item m="1" x="4184"/>
        <item m="1" x="4810"/>
        <item m="1" x="2889"/>
        <item x="151"/>
        <item m="1" x="3024"/>
        <item m="1" x="2647"/>
        <item m="1" x="2910"/>
        <item m="1" x="1867"/>
        <item m="1" x="3789"/>
        <item m="1" x="1919"/>
        <item m="1" x="3445"/>
        <item m="1" x="4745"/>
        <item m="1" x="2867"/>
        <item m="1" x="2555"/>
        <item m="1" x="1497"/>
        <item m="1" x="782"/>
        <item m="1" x="2548"/>
        <item m="1" x="2038"/>
        <item m="1" x="3953"/>
        <item m="1" x="3328"/>
        <item m="1" x="730"/>
        <item m="1" x="3028"/>
        <item m="1" x="1566"/>
        <item m="1" x="3523"/>
        <item m="1" x="3209"/>
        <item m="1" x="3813"/>
        <item m="1" x="1241"/>
        <item m="1" x="1528"/>
        <item m="1" x="4553"/>
        <item m="1" x="2965"/>
        <item m="1" x="1177"/>
        <item m="1" x="3828"/>
        <item m="1" x="1936"/>
        <item m="1" x="4674"/>
        <item m="1" x="3290"/>
        <item m="1" x="2450"/>
        <item m="1" x="3972"/>
        <item m="1" x="4186"/>
        <item m="1" x="1085"/>
        <item m="1" x="835"/>
        <item m="1" x="3382"/>
        <item m="1" x="4630"/>
        <item m="1" x="2334"/>
        <item m="1" x="3913"/>
        <item m="1" x="4602"/>
        <item m="1" x="4791"/>
        <item m="1" x="1776"/>
        <item m="1" x="2186"/>
        <item m="1" x="2471"/>
        <item m="1" x="2748"/>
        <item m="1" x="2937"/>
        <item m="1" x="2355"/>
        <item m="1" x="1641"/>
        <item m="1" x="624"/>
        <item m="1" x="1805"/>
        <item m="1" x="2408"/>
        <item x="306"/>
        <item m="1" x="2960"/>
        <item x="469"/>
        <item m="1" x="4079"/>
        <item m="1" x="3191"/>
        <item m="1" x="1073"/>
        <item x="169"/>
        <item x="487"/>
        <item x="497"/>
        <item m="1" x="663"/>
        <item m="1" x="4130"/>
        <item m="1" x="1620"/>
        <item m="1" x="961"/>
        <item x="457"/>
        <item m="1" x="2092"/>
        <item m="1" x="1389"/>
        <item m="1" x="1536"/>
        <item m="1" x="1718"/>
        <item m="1" x="3383"/>
        <item m="1" x="3641"/>
        <item m="1" x="3973"/>
        <item m="1" x="4241"/>
        <item m="1" x="1238"/>
        <item m="1" x="4584"/>
        <item x="548"/>
        <item m="1" x="4243"/>
        <item m="1" x="4486"/>
        <item m="1" x="4682"/>
        <item m="1" x="1957"/>
        <item m="1" x="4021"/>
        <item m="1" x="2949"/>
        <item m="1" x="2345"/>
        <item m="1" x="3829"/>
        <item m="1" x="4748"/>
        <item m="1" x="3838"/>
        <item m="1" x="1365"/>
        <item m="1" x="1740"/>
        <item x="287"/>
        <item m="1" x="4718"/>
        <item x="171"/>
        <item m="1" x="2978"/>
        <item m="1" x="1665"/>
        <item m="1" x="2033"/>
        <item m="1" x="3189"/>
        <item m="1" x="980"/>
        <item m="1" x="1764"/>
        <item m="1" x="3164"/>
        <item m="1" x="1166"/>
        <item m="1" x="4700"/>
        <item x="21"/>
        <item m="1" x="3392"/>
        <item m="1" x="3549"/>
        <item x="83"/>
        <item m="1" x="1695"/>
        <item m="1" x="2438"/>
        <item m="1" x="4733"/>
        <item x="483"/>
        <item m="1" x="3071"/>
        <item m="1" x="2858"/>
        <item m="1" x="4365"/>
        <item m="1" x="1249"/>
        <item m="1" x="3934"/>
        <item m="1" x="4265"/>
        <item m="1" x="1881"/>
        <item m="1" x="4758"/>
        <item m="1" x="4638"/>
        <item m="1" x="3162"/>
        <item m="1" x="3084"/>
        <item m="1" x="4855"/>
        <item m="1" x="4759"/>
        <item m="1" x="992"/>
        <item m="1" x="3237"/>
        <item m="1" x="4563"/>
        <item x="367"/>
        <item m="1" x="3746"/>
        <item m="1" x="767"/>
        <item m="1" x="852"/>
        <item m="1" x="1321"/>
        <item m="1" x="2772"/>
        <item m="1" x="3893"/>
        <item m="1" x="1370"/>
        <item m="1" x="2911"/>
        <item m="1" x="1484"/>
        <item m="1" x="1672"/>
        <item m="1" x="2488"/>
        <item m="1" x="3772"/>
        <item m="1" x="3512"/>
        <item m="1" x="2657"/>
        <item m="1" x="2682"/>
        <item m="1" x="1798"/>
        <item m="1" x="3059"/>
        <item m="1" x="3729"/>
        <item m="1" x="609"/>
        <item m="1" x="1989"/>
        <item m="1" x="1028"/>
        <item m="1" x="1827"/>
        <item m="1" x="4862"/>
        <item m="1" x="2600"/>
        <item m="1" x="4625"/>
        <item m="1" x="2580"/>
        <item m="1" x="2097"/>
        <item m="1" x="3544"/>
        <item m="1" x="3728"/>
        <item m="1" x="1662"/>
        <item m="1" x="3716"/>
        <item m="1" x="3308"/>
        <item m="1" x="3733"/>
        <item m="1" x="4367"/>
        <item x="484"/>
        <item m="1" x="4065"/>
        <item x="146"/>
        <item x="195"/>
        <item m="1" x="712"/>
        <item m="1" x="840"/>
        <item m="1" x="657"/>
        <item m="1" x="1027"/>
        <item m="1" x="3119"/>
        <item m="1" x="3009"/>
        <item m="1" x="2520"/>
        <item m="1" x="1179"/>
        <item m="1" x="2437"/>
        <item x="93"/>
        <item m="1" x="2476"/>
        <item m="1" x="3681"/>
        <item m="1" x="812"/>
        <item m="1" x="3685"/>
        <item x="99"/>
        <item m="1" x="786"/>
        <item x="153"/>
        <item m="1" x="4883"/>
        <item m="1" x="1480"/>
        <item m="1" x="1051"/>
        <item x="348"/>
        <item m="1" x="4739"/>
        <item m="1" x="3338"/>
        <item m="1" x="2275"/>
        <item m="1" x="678"/>
        <item x="52"/>
        <item m="1" x="3666"/>
        <item m="1" x="2014"/>
        <item m="1" x="1136"/>
        <item x="187"/>
        <item m="1" x="1427"/>
        <item m="1" x="1971"/>
        <item m="1" x="1661"/>
        <item m="1" x="4143"/>
        <item m="1" x="1878"/>
        <item m="1" x="1274"/>
        <item m="1" x="4548"/>
        <item m="1" x="4177"/>
        <item m="1" x="1244"/>
        <item m="1" x="2481"/>
        <item x="518"/>
        <item m="1" x="1702"/>
        <item m="1" x="1809"/>
        <item m="1" x="2974"/>
        <item x="203"/>
        <item m="1" x="4015"/>
        <item m="1" x="3401"/>
        <item m="1" x="2853"/>
        <item x="488"/>
        <item x="427"/>
        <item x="355"/>
        <item m="1" x="2029"/>
        <item x="381"/>
        <item m="1" x="2364"/>
        <item x="233"/>
        <item m="1" x="610"/>
        <item m="1" x="3242"/>
        <item m="1" x="1954"/>
        <item m="1" x="2906"/>
        <item m="1" x="3329"/>
        <item m="1" x="3016"/>
        <item m="1" x="3014"/>
        <item m="1" x="2728"/>
        <item m="1" x="770"/>
        <item m="1" x="2914"/>
        <item m="1" x="1886"/>
        <item x="118"/>
        <item m="1" x="2015"/>
        <item x="31"/>
        <item m="1" x="964"/>
        <item m="1" x="2248"/>
        <item m="1" x="2175"/>
        <item x="71"/>
        <item m="1" x="1775"/>
        <item m="1" x="3220"/>
        <item m="1" x="2261"/>
        <item m="1" x="888"/>
        <item m="1" x="919"/>
        <item m="1" x="4809"/>
        <item x="428"/>
        <item m="1" x="1943"/>
        <item m="1" x="3580"/>
        <item m="1" x="2536"/>
        <item m="1" x="2541"/>
        <item m="1" x="1440"/>
        <item m="1" x="2967"/>
        <item m="1" x="1260"/>
        <item m="1" x="2093"/>
        <item m="1" x="3990"/>
        <item m="1" x="669"/>
        <item m="1" x="4977"/>
        <item m="1" x="625"/>
        <item m="1" x="2095"/>
        <item m="1" x="3926"/>
        <item m="1" x="2847"/>
        <item m="1" x="2322"/>
        <item m="1" x="2855"/>
        <item m="1" x="4018"/>
        <item m="1" x="2194"/>
        <item m="1" x="4697"/>
        <item m="1" x="2327"/>
        <item m="1" x="1564"/>
        <item m="1" x="3771"/>
        <item x="290"/>
        <item x="350"/>
        <item m="1" x="2898"/>
        <item m="1" x="3006"/>
        <item m="1" x="737"/>
        <item m="1" x="4886"/>
        <item m="1" x="1104"/>
        <item m="1" x="4775"/>
        <item m="1" x="1783"/>
        <item m="1" x="3880"/>
        <item x="415"/>
        <item x="589"/>
        <item x="511"/>
        <item m="1" x="957"/>
        <item m="1" x="2123"/>
        <item m="1" x="4611"/>
        <item m="1" x="4828"/>
        <item m="1" x="3485"/>
        <item m="1" x="1502"/>
        <item m="1" x="4924"/>
        <item m="1" x="3418"/>
        <item m="1" x="886"/>
        <item m="1" x="4645"/>
        <item m="1" x="1182"/>
        <item m="1" x="894"/>
        <item m="1" x="4158"/>
        <item m="1" x="3739"/>
        <item m="1" x="3556"/>
        <item m="1" x="2597"/>
        <item m="1" x="4301"/>
        <item m="1" x="667"/>
        <item x="138"/>
        <item m="1" x="2691"/>
        <item m="1" x="1705"/>
        <item x="18"/>
        <item m="1" x="4036"/>
        <item m="1" x="3018"/>
        <item m="1" x="1940"/>
        <item m="1" x="1232"/>
        <item m="1" x="2508"/>
        <item m="1" x="2401"/>
        <item m="1" x="1690"/>
        <item m="1" x="4505"/>
        <item m="1" x="1788"/>
        <item m="1" x="1699"/>
        <item m="1" x="2726"/>
        <item m="1" x="2950"/>
        <item m="1" x="3425"/>
        <item m="1" x="834"/>
        <item m="1" x="4319"/>
        <item m="1" x="2002"/>
        <item x="284"/>
        <item m="1" x="3097"/>
        <item m="1" x="1183"/>
        <item m="1" x="3640"/>
        <item m="1" x="1134"/>
        <item m="1" x="4866"/>
        <item m="1" x="4747"/>
        <item m="1" x="2347"/>
        <item m="1" x="3448"/>
        <item m="1" x="703"/>
        <item m="1" x="1813"/>
        <item x="520"/>
        <item m="1" x="2077"/>
        <item x="55"/>
        <item m="1" x="801"/>
        <item m="1" x="1803"/>
        <item m="1" x="1815"/>
        <item m="1" x="4517"/>
        <item m="1" x="2633"/>
        <item m="1" x="2184"/>
        <item m="1" x="3803"/>
        <item m="1" x="1748"/>
        <item m="1" x="1476"/>
        <item x="424"/>
        <item m="1" x="1133"/>
        <item x="514"/>
        <item m="1" x="1071"/>
        <item m="1" x="2952"/>
        <item m="1" x="1127"/>
        <item m="1" x="4526"/>
        <item m="1" x="4355"/>
        <item m="1" x="3491"/>
        <item m="1" x="1992"/>
        <item m="1" x="1874"/>
        <item x="475"/>
        <item m="1" x="1543"/>
        <item m="1" x="758"/>
        <item x="529"/>
        <item m="1" x="668"/>
        <item m="1" x="4963"/>
        <item x="272"/>
        <item m="1" x="2293"/>
        <item m="1" x="4496"/>
        <item m="1" x="1947"/>
        <item m="1" x="2112"/>
        <item m="1" x="2187"/>
        <item m="1" x="4549"/>
        <item m="1" x="2346"/>
        <item m="1" x="1580"/>
        <item m="1" x="4322"/>
        <item x="377"/>
        <item m="1" x="717"/>
        <item m="1" x="4473"/>
        <item x="351"/>
        <item m="1" x="1415"/>
        <item m="1" x="1645"/>
        <item m="1" x="4061"/>
        <item m="1" x="1941"/>
        <item m="1" x="3085"/>
        <item m="1" x="2461"/>
        <item m="1" x="4132"/>
        <item m="1" x="642"/>
        <item m="1" x="2143"/>
        <item m="1" x="1473"/>
        <item m="1" x="4206"/>
        <item x="458"/>
        <item m="1" x="4968"/>
        <item m="1" x="3999"/>
        <item m="1" x="3540"/>
        <item m="1" x="3089"/>
        <item m="1" x="1689"/>
        <item m="1" x="3253"/>
        <item m="1" x="1030"/>
        <item m="1" x="2782"/>
        <item x="291"/>
        <item x="366"/>
        <item m="1" x="1895"/>
        <item m="1" x="3536"/>
        <item m="1" x="4801"/>
        <item m="1" x="3254"/>
        <item m="1" x="3949"/>
        <item m="1" x="3339"/>
        <item x="553"/>
        <item m="1" x="728"/>
        <item m="1" x="1917"/>
        <item m="1" x="3348"/>
        <item m="1" x="3333"/>
        <item m="1" x="2480"/>
        <item m="1" x="2392"/>
        <item m="1" x="4215"/>
        <item m="1" x="1199"/>
        <item m="1" x="4257"/>
        <item m="1" x="2139"/>
        <item m="1" x="4847"/>
        <item m="1" x="2810"/>
        <item m="1" x="4124"/>
        <item m="1" x="2411"/>
        <item m="1" x="4450"/>
        <item m="1" x="2156"/>
        <item m="1" x="2528"/>
        <item m="1" x="2116"/>
        <item m="1" x="1785"/>
        <item x="371"/>
        <item m="1" x="637"/>
        <item m="1" x="4773"/>
        <item m="1" x="3815"/>
        <item m="1" x="1287"/>
        <item m="1" x="2218"/>
        <item m="1" x="1910"/>
        <item m="1" x="739"/>
        <item x="236"/>
        <item m="1" x="3704"/>
        <item m="1" x="3161"/>
        <item m="1" x="881"/>
        <item m="1" x="4056"/>
        <item m="1" x="3022"/>
        <item m="1" x="2747"/>
        <item m="1" x="952"/>
        <item m="1" x="4626"/>
        <item m="1" x="1064"/>
        <item m="1" x="1186"/>
        <item m="1" x="4345"/>
        <item m="1" x="1656"/>
        <item m="1" x="1202"/>
        <item m="1" x="2373"/>
        <item m="1" x="3911"/>
        <item m="1" x="1532"/>
        <item m="1" x="2075"/>
        <item m="1" x="1398"/>
        <item m="1" x="3516"/>
        <item m="1" x="2724"/>
        <item m="1" x="2311"/>
        <item m="1" x="1761"/>
        <item m="1" x="4734"/>
        <item m="1" x="2884"/>
        <item m="1" x="763"/>
        <item m="1" x="3928"/>
        <item m="1" x="3166"/>
        <item m="1" x="1345"/>
        <item m="1" x="969"/>
        <item m="1" x="2532"/>
        <item m="1" x="2627"/>
        <item m="1" x="4498"/>
        <item m="1" x="1901"/>
        <item m="1" x="998"/>
        <item m="1" x="691"/>
        <item m="1" x="3769"/>
        <item m="1" x="4973"/>
        <item m="1" x="4640"/>
        <item m="1" x="1069"/>
        <item m="1" x="4541"/>
        <item m="1" x="2055"/>
        <item m="1" x="2996"/>
        <item m="1" x="1872"/>
        <item m="1" x="3791"/>
        <item m="1" x="4078"/>
        <item m="1" x="2492"/>
        <item m="1" x="3604"/>
        <item m="1" x="2013"/>
        <item m="1" x="2351"/>
        <item x="192"/>
        <item m="1" x="2612"/>
        <item m="1" x="3711"/>
        <item m="1" x="3506"/>
        <item m="1" x="4223"/>
        <item m="1" x="809"/>
        <item x="86"/>
        <item m="1" x="4510"/>
        <item m="1" x="2544"/>
        <item m="1" x="3471"/>
        <item m="1" x="2574"/>
        <item m="1" x="2815"/>
        <item m="1" x="1061"/>
        <item m="1" x="2901"/>
        <item m="1" x="4591"/>
        <item m="1" x="3577"/>
        <item m="1" x="3526"/>
        <item m="1" x="4007"/>
        <item x="34"/>
        <item m="1" x="2816"/>
        <item m="1" x="3602"/>
        <item x="113"/>
        <item m="1" x="2493"/>
        <item x="386"/>
        <item m="1" x="1053"/>
        <item m="1" x="3396"/>
        <item m="1" x="3035"/>
        <item m="1" x="1100"/>
        <item m="1" x="4612"/>
        <item m="1" x="2039"/>
        <item m="1" x="4306"/>
        <item x="77"/>
        <item x="304"/>
        <item m="1" x="4042"/>
        <item m="1" x="1396"/>
        <item m="1" x="2391"/>
        <item m="1" x="1969"/>
        <item m="1" x="2686"/>
        <item m="1" x="4459"/>
        <item m="1" x="3848"/>
        <item m="1" x="3994"/>
        <item m="1" x="3902"/>
        <item m="1" x="3795"/>
        <item m="1" x="781"/>
        <item m="1" x="3313"/>
        <item x="345"/>
        <item m="1" x="2678"/>
        <item x="372"/>
        <item m="1" x="3172"/>
        <item m="1" x="2672"/>
        <item m="1" x="2676"/>
        <item m="1" x="3660"/>
        <item m="1" x="3714"/>
        <item m="1" x="4976"/>
        <item m="1" x="3694"/>
        <item x="20"/>
        <item m="1" x="1339"/>
        <item x="273"/>
        <item m="1" x="2683"/>
        <item m="1" x="2087"/>
        <item m="1" x="2315"/>
        <item m="1" x="695"/>
        <item m="1" x="2646"/>
        <item m="1" x="3874"/>
        <item x="49"/>
        <item x="565"/>
        <item m="1" x="2671"/>
        <item m="1" x="756"/>
        <item m="1" x="2367"/>
        <item m="1" x="3582"/>
        <item m="1" x="3849"/>
        <item m="1" x="3586"/>
        <item x="166"/>
        <item m="1" x="3176"/>
        <item m="1" x="1383"/>
        <item m="1" x="3831"/>
        <item m="1" x="4353"/>
        <item m="1" x="4172"/>
        <item m="1" x="4794"/>
        <item m="1" x="1315"/>
        <item m="1" x="4445"/>
        <item m="1" x="3202"/>
        <item m="1" x="2630"/>
        <item m="1" x="4600"/>
        <item m="1" x="1510"/>
        <item m="1" x="4142"/>
        <item m="1" x="1115"/>
        <item m="1" x="2444"/>
        <item m="1" x="1632"/>
        <item m="1" x="1599"/>
        <item m="1" x="4346"/>
        <item m="1" x="4907"/>
        <item x="317"/>
        <item m="1" x="1962"/>
        <item m="1" x="2988"/>
        <item x="271"/>
        <item m="1" x="777"/>
        <item m="1" x="2645"/>
        <item m="1" x="1508"/>
        <item m="1" x="1214"/>
        <item m="1" x="4923"/>
        <item m="1" x="3327"/>
        <item m="1" x="1546"/>
        <item m="1" x="2658"/>
        <item m="1" x="4771"/>
        <item m="1" x="931"/>
        <item m="1" x="618"/>
        <item m="1" x="2193"/>
        <item m="1" x="4212"/>
        <item m="1" x="2787"/>
        <item m="1" x="4472"/>
        <item m="1" x="3030"/>
        <item m="1" x="4650"/>
        <item m="1" x="1754"/>
        <item x="137"/>
        <item m="1" x="3908"/>
        <item m="1" x="3875"/>
        <item m="1" x="2560"/>
        <item m="1" x="2283"/>
        <item m="1" x="3717"/>
        <item m="1" x="1099"/>
        <item m="1" x="1527"/>
        <item m="1" x="4887"/>
        <item m="1" x="4929"/>
        <item x="528"/>
        <item m="1" x="3595"/>
        <item m="1" x="1883"/>
        <item m="1" x="1361"/>
        <item m="1" x="1994"/>
        <item m="1" x="3205"/>
        <item m="1" x="1976"/>
        <item m="1" x="836"/>
        <item m="1" x="3553"/>
        <item m="1" x="1288"/>
        <item m="1" x="3671"/>
        <item m="1" x="4010"/>
        <item m="1" x="3039"/>
        <item m="1" x="3397"/>
        <item m="1" x="3992"/>
        <item m="1" x="1857"/>
        <item m="1" x="1709"/>
        <item m="1" x="4525"/>
        <item m="1" x="3832"/>
        <item m="1" x="4461"/>
        <item m="1" x="2305"/>
        <item x="60"/>
        <item m="1" x="1588"/>
        <item m="1" x="4106"/>
        <item m="1" x="1038"/>
        <item m="1" x="849"/>
        <item m="1" x="2680"/>
        <item m="1" x="3306"/>
        <item m="1" x="2887"/>
        <item m="1" x="1974"/>
        <item x="286"/>
        <item m="1" x="1638"/>
        <item m="1" x="2744"/>
        <item m="1" x="3754"/>
        <item m="1" x="4429"/>
        <item m="1" x="1062"/>
        <item m="1" x="3432"/>
        <item m="1" x="3380"/>
        <item m="1" x="4291"/>
        <item m="1" x="3174"/>
        <item m="1" x="861"/>
        <item x="499"/>
        <item m="1" x="2249"/>
        <item m="1" x="3213"/>
        <item m="1" x="1184"/>
        <item m="1" x="710"/>
        <item m="1" x="2353"/>
        <item m="1" x="2896"/>
        <item m="1" x="2084"/>
        <item m="1" x="2504"/>
        <item m="1" x="3542"/>
        <item m="1" x="3559"/>
        <item m="1" x="3749"/>
        <item x="470"/>
        <item m="1" x="670"/>
        <item m="1" x="1755"/>
        <item m="1" x="3931"/>
        <item m="1" x="4253"/>
        <item m="1" x="4653"/>
        <item m="1" x="4619"/>
        <item m="1" x="3013"/>
        <item m="1" x="4146"/>
        <item m="1" x="3187"/>
        <item m="1" x="4608"/>
        <item m="1" x="3700"/>
        <item x="569"/>
        <item m="1" x="4298"/>
        <item m="1" x="1677"/>
        <item m="1" x="4872"/>
        <item m="1" x="1307"/>
        <item m="1" x="4476"/>
        <item x="482"/>
        <item m="1" x="4315"/>
        <item m="1" x="2094"/>
        <item m="1" x="773"/>
        <item m="1" x="4702"/>
        <item x="435"/>
        <item m="1" x="1633"/>
        <item m="1" x="4857"/>
        <item m="1" x="3041"/>
        <item m="1" x="2430"/>
        <item m="1" x="1973"/>
        <item m="1" x="3279"/>
        <item m="1" x="4033"/>
        <item m="1" x="1451"/>
        <item m="1" x="766"/>
        <item m="1" x="970"/>
        <item m="1" x="4249"/>
        <item m="1" x="1320"/>
        <item m="1" x="3015"/>
        <item m="1" x="1820"/>
        <item m="1" x="1331"/>
        <item m="1" x="2825"/>
        <item m="1" x="1999"/>
        <item m="1" x="4769"/>
        <item m="1" x="1068"/>
        <item m="1" x="2588"/>
        <item x="356"/>
        <item m="1" x="789"/>
        <item m="1" x="797"/>
        <item m="1" x="2599"/>
        <item m="1" x="1548"/>
        <item m="1" x="3104"/>
        <item m="1" x="2656"/>
        <item m="1" x="2729"/>
        <item m="1" x="2924"/>
        <item m="1" x="4283"/>
        <item m="1" x="2274"/>
        <item m="1" x="1640"/>
        <item m="1" x="4272"/>
        <item m="1" x="4962"/>
        <item m="1" x="905"/>
        <item m="1" x="3163"/>
        <item m="1" x="3955"/>
        <item m="1" x="3517"/>
        <item m="1" x="4347"/>
        <item m="1" x="2309"/>
        <item m="1" x="898"/>
        <item m="1" x="1306"/>
        <item m="1" x="820"/>
        <item m="1" x="1262"/>
        <item m="1" x="787"/>
        <item m="1" x="1952"/>
        <item m="1" x="2845"/>
        <item m="1" x="2902"/>
        <item x="594"/>
        <item m="1" x="3750"/>
        <item m="1" x="4527"/>
        <item m="1" x="4960"/>
        <item x="471"/>
        <item m="1" x="1272"/>
        <item m="1" x="3226"/>
        <item m="1" x="3961"/>
        <item m="1" x="2585"/>
        <item m="1" x="2042"/>
        <item m="1" x="1553"/>
        <item x="30"/>
        <item m="1" x="2479"/>
        <item m="1" x="4362"/>
        <item m="1" x="4521"/>
        <item m="1" x="4537"/>
        <item x="456"/>
        <item m="1" x="1181"/>
        <item m="1" x="3947"/>
        <item m="1" x="2120"/>
        <item m="1" x="3482"/>
        <item m="1" x="640"/>
        <item m="1" x="2888"/>
        <item m="1" x="1447"/>
        <item m="1" x="3967"/>
        <item m="1" x="3590"/>
        <item m="1" x="3985"/>
        <item m="1" x="3178"/>
        <item x="495"/>
        <item m="1" x="4829"/>
        <item m="1" x="3461"/>
        <item m="1" x="2738"/>
        <item m="1" x="2628"/>
        <item m="1" x="3470"/>
        <item m="1" x="1781"/>
        <item m="1" x="4093"/>
        <item m="1" x="4876"/>
        <item m="1" x="2185"/>
        <item m="1" x="1222"/>
        <item m="1" x="3743"/>
        <item m="1" x="1200"/>
        <item m="1" x="4284"/>
        <item x="259"/>
        <item m="1" x="4363"/>
        <item m="1" x="1542"/>
        <item m="1" x="4506"/>
        <item x="512"/>
        <item m="1" x="1067"/>
        <item m="1" x="3049"/>
        <item m="1" x="2915"/>
        <item m="1" x="3851"/>
        <item m="1" x="1782"/>
        <item m="1" x="604"/>
        <item x="568"/>
        <item m="1" x="1870"/>
        <item m="1" x="1399"/>
        <item m="1" x="1773"/>
        <item m="1" x="4332"/>
        <item m="1" x="1557"/>
        <item m="1" x="4879"/>
        <item m="1" x="4041"/>
        <item m="1" x="2619"/>
        <item m="1" x="4123"/>
        <item m="1" x="1309"/>
        <item m="1" x="1196"/>
        <item m="1" x="955"/>
        <item m="1" x="1364"/>
        <item m="1" x="3808"/>
        <item x="361"/>
        <item m="1" x="3234"/>
        <item m="1" x="3759"/>
        <item m="1" x="4201"/>
        <item m="1" x="1084"/>
        <item m="1" x="2803"/>
        <item m="1" x="4565"/>
        <item m="1" x="4170"/>
        <item m="1" x="1348"/>
        <item m="1" x="4087"/>
        <item m="1" x="3183"/>
        <item x="390"/>
        <item x="347"/>
        <item x="269"/>
        <item m="1" x="4358"/>
        <item m="1" x="3593"/>
        <item m="1" x="2117"/>
        <item m="1" x="4195"/>
        <item m="1" x="3150"/>
        <item m="1" x="796"/>
        <item m="1" x="2223"/>
        <item m="1" x="1485"/>
        <item x="311"/>
        <item m="1" x="4189"/>
        <item x="105"/>
        <item m="1" x="4690"/>
        <item m="1" x="1547"/>
        <item m="1" x="1149"/>
        <item m="1" x="4631"/>
        <item m="1" x="2752"/>
        <item m="1" x="1230"/>
        <item m="1" x="1088"/>
        <item m="1" x="3623"/>
        <item m="1" x="4246"/>
        <item m="1" x="4354"/>
        <item m="1" x="3122"/>
        <item m="1" x="3589"/>
        <item x="600"/>
        <item m="1" x="1929"/>
        <item m="1" x="3689"/>
        <item m="1" x="4248"/>
        <item x="63"/>
        <item m="1" x="4544"/>
        <item m="1" x="1824"/>
        <item m="1" x="4821"/>
        <item m="1" x="3792"/>
        <item x="444"/>
        <item x="595"/>
        <item m="1" x="3737"/>
        <item x="231"/>
        <item x="246"/>
        <item x="502"/>
        <item m="1" x="3462"/>
        <item m="1" x="4558"/>
        <item m="1" x="4782"/>
        <item m="1" x="2856"/>
        <item m="1" x="2756"/>
        <item m="1" x="2205"/>
        <item m="1" x="727"/>
        <item m="1" x="3839"/>
        <item m="1" x="959"/>
        <item m="1" x="2217"/>
        <item m="1" x="1722"/>
        <item m="1" x="1007"/>
        <item m="1" x="4426"/>
        <item m="1" x="839"/>
        <item m="1" x="2113"/>
        <item m="1" x="1735"/>
        <item m="1" x="1729"/>
        <item x="268"/>
        <item m="1" x="4925"/>
        <item m="1" x="3083"/>
        <item m="1" x="1652"/>
        <item m="1" x="2360"/>
        <item m="1" x="3987"/>
        <item m="1" x="4571"/>
        <item m="1" x="3780"/>
        <item m="1" x="3899"/>
        <item m="1" x="2694"/>
        <item x="177"/>
        <item x="156"/>
        <item x="481"/>
        <item m="1" x="4398"/>
        <item m="1" x="2562"/>
        <item x="238"/>
        <item m="1" x="4648"/>
        <item m="1" x="4002"/>
        <item m="1" x="1120"/>
        <item m="1" x="1266"/>
        <item m="1" x="2603"/>
        <item m="1" x="1763"/>
        <item m="1" x="4491"/>
        <item x="590"/>
        <item m="1" x="1352"/>
        <item m="1" x="2690"/>
        <item m="1" x="2342"/>
        <item m="1" x="4133"/>
        <item m="1" x="2317"/>
        <item m="1" x="3548"/>
        <item m="1" x="1297"/>
        <item m="1" x="4062"/>
        <item x="560"/>
        <item m="1" x="1358"/>
        <item m="1" x="1382"/>
        <item m="1" x="1704"/>
        <item m="1" x="1341"/>
        <item m="1" x="1046"/>
        <item m="1" x="2882"/>
        <item m="1" x="3638"/>
        <item m="1" x="3762"/>
        <item m="1" x="2256"/>
        <item m="1" x="3785"/>
        <item m="1" x="3954"/>
        <item m="1" x="2697"/>
        <item x="56"/>
        <item m="1" x="1057"/>
        <item m="1" x="2913"/>
        <item m="1" x="1609"/>
        <item m="1" x="3765"/>
        <item m="1" x="939"/>
        <item m="1" x="2669"/>
        <item m="1" x="790"/>
        <item m="1" x="1984"/>
        <item m="1" x="3644"/>
        <item m="1" x="4636"/>
        <item m="1" x="3656"/>
        <item m="1" x="3215"/>
        <item m="1" x="2765"/>
        <item m="1" x="2758"/>
        <item m="1" x="1742"/>
        <item m="1" x="3910"/>
        <item m="1" x="1247"/>
        <item m="1" x="1664"/>
        <item m="1" x="3976"/>
        <item m="1" x="2880"/>
        <item m="1" x="3424"/>
        <item x="526"/>
        <item m="1" x="2146"/>
        <item m="1" x="4102"/>
        <item m="1" x="1240"/>
        <item m="1" x="1614"/>
        <item m="1" x="3578"/>
        <item m="1" x="1164"/>
        <item m="1" x="1189"/>
        <item m="1" x="1453"/>
        <item m="1" x="4368"/>
        <item m="1" x="2543"/>
        <item m="1" x="3487"/>
        <item m="1" x="2064"/>
        <item m="1" x="3894"/>
        <item m="1" x="2358"/>
        <item m="1" x="1322"/>
        <item m="1" x="4687"/>
        <item m="1" x="776"/>
        <item m="1" x="2422"/>
        <item m="1" x="2987"/>
        <item m="1" x="1412"/>
        <item m="1" x="1036"/>
        <item m="1" x="1114"/>
        <item m="1" x="4343"/>
        <item m="1" x="3618"/>
        <item m="1" x="1912"/>
        <item m="1" x="4160"/>
        <item m="1" x="4512"/>
        <item m="1" x="4710"/>
        <item m="1" x="2643"/>
        <item m="1" x="1439"/>
        <item m="1" x="2727"/>
        <item m="1" x="2063"/>
        <item m="1" x="3963"/>
        <item m="1" x="4751"/>
        <item x="498"/>
        <item m="1" x="869"/>
        <item x="189"/>
        <item m="1" x="3406"/>
        <item m="1" x="3073"/>
        <item m="1" x="1908"/>
        <item x="220"/>
        <item m="1" x="3825"/>
        <item m="1" x="2443"/>
        <item x="394"/>
        <item m="1" x="2951"/>
        <item m="1" x="4372"/>
        <item m="1" x="4915"/>
        <item x="173"/>
        <item x="440"/>
        <item m="1" x="4153"/>
        <item m="1" x="4207"/>
        <item m="1" x="746"/>
        <item m="1" x="648"/>
        <item x="383"/>
        <item x="11"/>
        <item m="1" x="3020"/>
        <item m="1" x="838"/>
        <item m="1" x="785"/>
        <item m="1" x="804"/>
        <item m="1" x="3981"/>
        <item m="1" x="4853"/>
        <item m="1" x="4202"/>
        <item x="94"/>
        <item m="1" x="2926"/>
        <item m="1" x="4937"/>
        <item m="1" x="2328"/>
        <item m="1" x="1866"/>
        <item m="1" x="2664"/>
        <item m="1" x="3196"/>
        <item m="1" x="1039"/>
        <item m="1" x="1810"/>
        <item m="1" x="3678"/>
        <item m="1" x="4316"/>
        <item m="1" x="751"/>
        <item m="1" x="1492"/>
        <item m="1" x="4115"/>
        <item m="1" x="829"/>
        <item m="1" x="3404"/>
        <item m="1" x="2783"/>
        <item x="168"/>
        <item m="1" x="2230"/>
        <item m="1" x="4678"/>
        <item x="396"/>
        <item m="1" x="4844"/>
        <item m="1" x="3079"/>
        <item m="1" x="3924"/>
        <item m="1" x="4562"/>
        <item m="1" x="4911"/>
        <item m="1" x="1414"/>
        <item m="1" x="4499"/>
        <item m="1" x="1360"/>
        <item x="516"/>
        <item x="492"/>
        <item m="1" x="4454"/>
        <item m="1" x="633"/>
        <item m="1" x="3852"/>
        <item m="1" x="4422"/>
        <item m="1" x="1927"/>
        <item m="1" x="4975"/>
        <item m="1" x="3597"/>
        <item x="490"/>
        <item m="1" x="2405"/>
        <item x="184"/>
        <item x="180"/>
        <item m="1" x="4104"/>
        <item m="1" x="3293"/>
        <item m="1" x="1411"/>
        <item m="1" x="1234"/>
        <item m="1" x="1519"/>
        <item m="1" x="1799"/>
        <item m="1" x="4867"/>
        <item m="1" x="1132"/>
        <item m="1" x="3251"/>
        <item m="1" x="1047"/>
        <item m="1" x="1294"/>
        <item m="1" x="3732"/>
        <item m="1" x="4159"/>
        <item m="1" x="1328"/>
        <item m="1" x="2265"/>
        <item m="1" x="4039"/>
        <item m="1" x="2207"/>
        <item m="1" x="1250"/>
        <item m="1" x="2058"/>
        <item m="1" x="3478"/>
        <item x="248"/>
        <item m="1" x="982"/>
        <item x="35"/>
        <item m="1" x="1865"/>
        <item x="322"/>
        <item m="1" x="1418"/>
        <item x="591"/>
        <item m="1" x="1859"/>
        <item m="1" x="1534"/>
        <item m="1" x="4634"/>
        <item m="1" x="1095"/>
        <item m="1" x="4812"/>
        <item x="385"/>
        <item x="376"/>
        <item m="1" x="1579"/>
        <item x="408"/>
        <item m="1" x="2832"/>
        <item m="1" x="4983"/>
        <item m="1" x="675"/>
        <item x="42"/>
        <item m="1" x="1126"/>
        <item m="1" x="2750"/>
        <item m="1" x="3341"/>
        <item m="1" x="3882"/>
        <item x="234"/>
        <item m="1" x="4919"/>
        <item m="1" x="974"/>
        <item m="1" x="3005"/>
        <item m="1" x="918"/>
        <item m="1" x="3665"/>
        <item m="1" x="3476"/>
        <item m="1" x="752"/>
        <item m="1" x="1144"/>
        <item m="1" x="2835"/>
        <item m="1" x="3358"/>
        <item m="1" x="3779"/>
        <item m="1" x="1777"/>
        <item m="1" x="4030"/>
        <item m="1" x="2764"/>
        <item m="1" x="3475"/>
        <item m="1" x="2159"/>
        <item m="1" x="3116"/>
        <item m="1" x="4987"/>
        <item m="1" x="672"/>
        <item m="1" x="1572"/>
        <item m="1" x="3332"/>
        <item m="1" x="2865"/>
        <item m="1" x="938"/>
        <item m="1" x="942"/>
        <item x="463"/>
        <item m="1" x="979"/>
        <item m="1" x="2650"/>
        <item m="1" x="4330"/>
        <item m="1" x="1123"/>
        <item m="1" x="871"/>
        <item m="1" x="4356"/>
        <item m="1" x="716"/>
        <item m="1" x="4399"/>
        <item m="1" x="2483"/>
        <item x="598"/>
        <item m="1" x="684"/>
        <item m="1" x="3721"/>
        <item m="1" x="3281"/>
        <item m="1" x="4852"/>
        <item m="1" x="4676"/>
        <item m="1" x="3712"/>
        <item m="1" x="940"/>
        <item x="150"/>
        <item m="1" x="1313"/>
        <item m="1" x="873"/>
        <item m="1" x="4418"/>
        <item m="1" x="3273"/>
        <item m="1" x="3555"/>
        <item m="1" x="3511"/>
        <item m="1" x="1563"/>
        <item m="1" x="1537"/>
        <item x="79"/>
        <item m="1" x="4436"/>
        <item m="1" x="775"/>
        <item m="1" x="1334"/>
        <item m="1" x="1335"/>
        <item m="1" x="3897"/>
        <item m="1" x="4904"/>
        <item m="1" x="3258"/>
        <item m="1" x="1270"/>
        <item m="1" x="1539"/>
        <item x="340"/>
        <item m="1" x="749"/>
        <item m="1" x="3551"/>
        <item m="1" x="1156"/>
        <item x="375"/>
        <item m="1" x="4655"/>
        <item m="1" x="760"/>
        <item x="207"/>
        <item m="1" x="3535"/>
        <item m="1" x="4254"/>
        <item m="1" x="3207"/>
        <item m="1" x="2836"/>
        <item m="1" x="3480"/>
        <item m="1" x="2510"/>
        <item m="1" x="877"/>
        <item m="1" x="2225"/>
        <item m="1" x="2240"/>
        <item m="1" x="3444"/>
        <item m="1" x="2897"/>
        <item m="1" x="4712"/>
        <item m="1" x="1627"/>
        <item m="1" x="2368"/>
        <item m="1" x="859"/>
        <item m="1" x="3302"/>
        <item m="1" x="1354"/>
        <item m="1" x="1172"/>
        <item m="1" x="1864"/>
        <item m="1" x="3110"/>
        <item m="1" x="1675"/>
        <item x="64"/>
        <item m="1" x="1141"/>
        <item m="1" x="4948"/>
        <item m="1" x="2005"/>
        <item m="1" x="4234"/>
        <item m="1" x="1659"/>
        <item m="1" x="4774"/>
        <item m="1" x="4439"/>
        <item m="1" x="1223"/>
        <item m="1" x="2903"/>
        <item m="1" x="1346"/>
        <item m="1" x="629"/>
        <item m="1" x="3509"/>
        <item m="1" x="4408"/>
        <item m="1" x="3930"/>
        <item m="1" x="1511"/>
        <item m="1" x="1862"/>
        <item m="1" x="1623"/>
        <item m="1" x="1796"/>
        <item m="1" x="2785"/>
        <item m="1" x="2045"/>
        <item m="1" x="1676"/>
        <item m="1" x="650"/>
        <item m="1" x="1720"/>
        <item m="1" x="4731"/>
        <item m="1" x="2321"/>
        <item m="1" x="4261"/>
        <item m="1" x="4551"/>
        <item m="1" x="1751"/>
        <item m="1" x="4928"/>
        <item x="136"/>
        <item m="1" x="3492"/>
        <item m="1" x="4162"/>
        <item x="413"/>
        <item m="1" x="916"/>
        <item x="17"/>
        <item m="1" x="1970"/>
        <item m="1" x="1983"/>
        <item m="1" x="4043"/>
        <item m="1" x="2868"/>
        <item m="1" x="3194"/>
        <item m="1" x="2503"/>
        <item m="1" x="3710"/>
        <item m="1" x="3288"/>
        <item m="1" x="3495"/>
        <item m="1" x="4827"/>
        <item m="1" x="2570"/>
        <item m="1" x="4237"/>
        <item x="257"/>
        <item m="1" x="3761"/>
        <item m="1" x="4953"/>
        <item m="1" x="3352"/>
        <item m="1" x="3472"/>
        <item m="1" x="3614"/>
        <item x="205"/>
        <item m="1" x="1535"/>
        <item m="1" x="4790"/>
        <item m="1" x="1049"/>
        <item m="1" x="3915"/>
        <item m="1" x="1737"/>
        <item m="1" x="2157"/>
        <item x="307"/>
        <item m="1" x="930"/>
        <item x="78"/>
        <item m="1" x="4912"/>
        <item m="1" x="1013"/>
        <item m="1" x="706"/>
        <item m="1" x="827"/>
        <item m="1" x="4303"/>
        <item m="1" x="4778"/>
        <item m="1" x="4673"/>
        <item m="1" x="2833"/>
        <item m="1" x="1708"/>
        <item m="1" x="4054"/>
        <item m="1" x="1423"/>
        <item m="1" x="4055"/>
        <item x="378"/>
        <item x="551"/>
        <item m="1" x="2976"/>
        <item m="1" x="724"/>
        <item m="1" x="1443"/>
        <item m="1" x="3525"/>
        <item m="1" x="1330"/>
        <item m="1" x="2154"/>
        <item m="1" x="2173"/>
        <item m="1" x="2098"/>
        <item m="1" x="3858"/>
        <item m="1" x="3002"/>
        <item x="13"/>
        <item m="1" x="806"/>
        <item m="1" x="3677"/>
        <item m="1" x="3400"/>
        <item m="1" x="993"/>
        <item m="1" x="1337"/>
        <item m="1" x="2122"/>
        <item m="1" x="2638"/>
        <item m="1" x="2606"/>
        <item m="1" x="1403"/>
        <item x="517"/>
        <item m="1" x="2089"/>
        <item m="1" x="3452"/>
        <item m="1" x="811"/>
        <item m="1" x="1052"/>
        <item m="1" x="1170"/>
        <item m="1" x="3617"/>
        <item m="1" x="3969"/>
        <item m="1" x="3201"/>
        <item x="212"/>
        <item m="1" x="4164"/>
        <item m="1" x="631"/>
        <item m="1" x="3518"/>
        <item m="1" x="1728"/>
        <item m="1" x="1846"/>
        <item m="1" x="850"/>
        <item m="1" x="1568"/>
        <item m="1" x="1397"/>
        <item m="1" x="876"/>
        <item m="1" x="4719"/>
        <item m="1" x="1029"/>
        <item m="1" x="1119"/>
        <item m="1" x="2522"/>
        <item m="1" x="2776"/>
        <item m="1" x="1611"/>
        <item m="1" x="3757"/>
        <item m="1" x="634"/>
        <item m="1" x="4858"/>
        <item m="1" x="4446"/>
        <item m="1" x="705"/>
        <item m="1" x="2426"/>
        <item m="1" x="912"/>
        <item m="1" x="1094"/>
        <item m="1" x="3869"/>
        <item m="1" x="1153"/>
        <item m="1" x="3081"/>
        <item m="1" x="4524"/>
        <item t="default"/>
      </items>
      <autoSortScope>
        <pivotArea dataOnly="0" outline="0" fieldPosition="0">
          <references count="1">
            <reference field="4294967294" count="1" selected="0">
              <x v="2"/>
            </reference>
          </references>
        </pivotArea>
      </autoSortScope>
    </pivotField>
    <pivotField showAll="0"/>
    <pivotField showAll="0"/>
    <pivotField dataField="1" numFmtId="165" showAll="0"/>
    <pivotField numFmtId="2" showAll="0"/>
    <pivotField showAll="0"/>
    <pivotField dataField="1"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11">
    <i>
      <x v="3200"/>
    </i>
    <i>
      <x v="2765"/>
    </i>
    <i>
      <x v="2692"/>
    </i>
    <i>
      <x v="1924"/>
    </i>
    <i>
      <x v="3009"/>
    </i>
    <i>
      <x v="2827"/>
    </i>
    <i>
      <x v="4000"/>
    </i>
    <i>
      <x v="846"/>
    </i>
    <i>
      <x v="3610"/>
    </i>
    <i>
      <x v="3912"/>
    </i>
    <i t="grand">
      <x/>
    </i>
  </rowItems>
  <colFields count="1">
    <field x="-2"/>
  </colFields>
  <colItems count="4">
    <i>
      <x/>
    </i>
    <i i="1">
      <x v="1"/>
    </i>
    <i i="2">
      <x v="2"/>
    </i>
    <i i="3">
      <x v="3"/>
    </i>
  </colItems>
  <dataFields count="4">
    <dataField name="Sum of Revenue" fld="4" baseField="0" baseItem="0" numFmtId="165"/>
    <dataField name="Sum of Workers" fld="7" baseField="0" baseItem="0"/>
    <dataField name="Sum of delta workers" fld="13" baseField="0" baseItem="0"/>
    <dataField name="Sum of Revenue per Worker" fld="14" baseField="0" baseItem="0"/>
  </dataFields>
  <formats count="1">
    <format dxfId="1">
      <pivotArea dataOnly="0" outline="0" fieldPosition="0">
        <references count="1">
          <reference field="4294967294" count="1">
            <x v="3"/>
          </reference>
        </references>
      </pivotArea>
    </format>
  </formats>
  <pivotTableStyleInfo name="PivotStyleLight16" showRowHeaders="1" showColHeaders="1" showRowStripes="0" showColStripes="0" showLastColumn="1"/>
  <filters count="1">
    <filter fld="1" type="count" evalOrder="-1" id="10"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6AF2DD-1156-4607-914C-37EE4AA318B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E508" firstHeaderRow="0" firstDataRow="1" firstDataCol="1"/>
  <pivotFields count="15">
    <pivotField showAll="0"/>
    <pivotField axis="axisRow" showAll="0" measureFilter="1" sortType="descending">
      <items count="4989">
        <item m="1" x="4524"/>
        <item m="1" x="3081"/>
        <item m="1" x="1153"/>
        <item m="1" x="3869"/>
        <item m="1" x="1094"/>
        <item m="1" x="912"/>
        <item m="1" x="2426"/>
        <item m="1" x="705"/>
        <item m="1" x="4446"/>
        <item m="1" x="4858"/>
        <item m="1" x="634"/>
        <item m="1" x="3757"/>
        <item m="1" x="1611"/>
        <item m="1" x="2776"/>
        <item m="1" x="2522"/>
        <item m="1" x="1119"/>
        <item m="1" x="1029"/>
        <item m="1" x="4719"/>
        <item m="1" x="876"/>
        <item m="1" x="1397"/>
        <item m="1" x="1568"/>
        <item m="1" x="850"/>
        <item m="1" x="1846"/>
        <item m="1" x="1728"/>
        <item m="1" x="3518"/>
        <item m="1" x="631"/>
        <item m="1" x="4164"/>
        <item x="212"/>
        <item m="1" x="3201"/>
        <item m="1" x="3969"/>
        <item m="1" x="3617"/>
        <item m="1" x="1170"/>
        <item m="1" x="1052"/>
        <item m="1" x="811"/>
        <item m="1" x="3452"/>
        <item m="1" x="2089"/>
        <item x="517"/>
        <item m="1" x="1403"/>
        <item m="1" x="2606"/>
        <item m="1" x="2638"/>
        <item m="1" x="2122"/>
        <item m="1" x="1337"/>
        <item m="1" x="993"/>
        <item m="1" x="3400"/>
        <item m="1" x="3677"/>
        <item m="1" x="806"/>
        <item x="13"/>
        <item m="1" x="3002"/>
        <item m="1" x="3858"/>
        <item m="1" x="2098"/>
        <item m="1" x="2173"/>
        <item m="1" x="2154"/>
        <item m="1" x="1330"/>
        <item m="1" x="3525"/>
        <item m="1" x="1443"/>
        <item m="1" x="724"/>
        <item m="1" x="2976"/>
        <item x="551"/>
        <item x="378"/>
        <item m="1" x="4055"/>
        <item m="1" x="1423"/>
        <item m="1" x="4054"/>
        <item m="1" x="1708"/>
        <item m="1" x="2833"/>
        <item m="1" x="4673"/>
        <item m="1" x="4778"/>
        <item m="1" x="4303"/>
        <item m="1" x="827"/>
        <item m="1" x="706"/>
        <item m="1" x="1013"/>
        <item m="1" x="4912"/>
        <item x="78"/>
        <item m="1" x="930"/>
        <item x="307"/>
        <item m="1" x="2157"/>
        <item m="1" x="1737"/>
        <item m="1" x="3915"/>
        <item m="1" x="1049"/>
        <item m="1" x="4790"/>
        <item m="1" x="1535"/>
        <item x="205"/>
        <item m="1" x="3614"/>
        <item m="1" x="3472"/>
        <item m="1" x="3352"/>
        <item m="1" x="4953"/>
        <item m="1" x="3761"/>
        <item x="257"/>
        <item m="1" x="4237"/>
        <item m="1" x="2570"/>
        <item m="1" x="4827"/>
        <item m="1" x="3495"/>
        <item m="1" x="3288"/>
        <item m="1" x="3710"/>
        <item m="1" x="2503"/>
        <item m="1" x="3194"/>
        <item m="1" x="2868"/>
        <item m="1" x="4043"/>
        <item m="1" x="1983"/>
        <item m="1" x="1970"/>
        <item x="17"/>
        <item m="1" x="916"/>
        <item x="413"/>
        <item m="1" x="4162"/>
        <item m="1" x="3492"/>
        <item x="136"/>
        <item m="1" x="4928"/>
        <item m="1" x="1751"/>
        <item m="1" x="4551"/>
        <item m="1" x="4261"/>
        <item m="1" x="2321"/>
        <item m="1" x="4731"/>
        <item m="1" x="1720"/>
        <item m="1" x="650"/>
        <item m="1" x="1676"/>
        <item m="1" x="2045"/>
        <item m="1" x="2785"/>
        <item m="1" x="1796"/>
        <item m="1" x="1623"/>
        <item m="1" x="1862"/>
        <item m="1" x="1511"/>
        <item m="1" x="3930"/>
        <item m="1" x="4408"/>
        <item m="1" x="3509"/>
        <item m="1" x="629"/>
        <item m="1" x="1346"/>
        <item m="1" x="2903"/>
        <item m="1" x="1223"/>
        <item m="1" x="4439"/>
        <item m="1" x="4774"/>
        <item m="1" x="1659"/>
        <item m="1" x="4234"/>
        <item m="1" x="2005"/>
        <item m="1" x="4948"/>
        <item m="1" x="1141"/>
        <item x="64"/>
        <item m="1" x="1675"/>
        <item m="1" x="3110"/>
        <item m="1" x="1864"/>
        <item m="1" x="1172"/>
        <item m="1" x="1354"/>
        <item m="1" x="3302"/>
        <item m="1" x="859"/>
        <item m="1" x="2368"/>
        <item m="1" x="1627"/>
        <item m="1" x="4712"/>
        <item m="1" x="2897"/>
        <item m="1" x="3444"/>
        <item m="1" x="2240"/>
        <item m="1" x="2225"/>
        <item m="1" x="877"/>
        <item m="1" x="2510"/>
        <item m="1" x="3480"/>
        <item m="1" x="2836"/>
        <item m="1" x="3207"/>
        <item m="1" x="4254"/>
        <item m="1" x="3535"/>
        <item x="207"/>
        <item m="1" x="760"/>
        <item m="1" x="4655"/>
        <item x="375"/>
        <item m="1" x="1156"/>
        <item m="1" x="3551"/>
        <item m="1" x="749"/>
        <item x="340"/>
        <item m="1" x="1539"/>
        <item m="1" x="1270"/>
        <item m="1" x="3258"/>
        <item m="1" x="4904"/>
        <item m="1" x="3897"/>
        <item m="1" x="1335"/>
        <item m="1" x="1334"/>
        <item m="1" x="775"/>
        <item m="1" x="4436"/>
        <item x="79"/>
        <item m="1" x="1537"/>
        <item m="1" x="1563"/>
        <item m="1" x="3511"/>
        <item m="1" x="3555"/>
        <item m="1" x="3273"/>
        <item m="1" x="4418"/>
        <item m="1" x="873"/>
        <item m="1" x="1313"/>
        <item x="150"/>
        <item m="1" x="940"/>
        <item m="1" x="3712"/>
        <item m="1" x="4676"/>
        <item m="1" x="4852"/>
        <item m="1" x="3281"/>
        <item m="1" x="3721"/>
        <item m="1" x="684"/>
        <item x="598"/>
        <item m="1" x="2483"/>
        <item m="1" x="4399"/>
        <item m="1" x="716"/>
        <item m="1" x="4356"/>
        <item m="1" x="871"/>
        <item m="1" x="1123"/>
        <item m="1" x="4330"/>
        <item m="1" x="2650"/>
        <item m="1" x="979"/>
        <item x="463"/>
        <item m="1" x="942"/>
        <item m="1" x="938"/>
        <item m="1" x="2865"/>
        <item m="1" x="3332"/>
        <item m="1" x="1572"/>
        <item m="1" x="672"/>
        <item m="1" x="4987"/>
        <item m="1" x="3116"/>
        <item m="1" x="2159"/>
        <item m="1" x="3475"/>
        <item m="1" x="2764"/>
        <item m="1" x="4030"/>
        <item m="1" x="1777"/>
        <item m="1" x="3779"/>
        <item m="1" x="3358"/>
        <item m="1" x="2835"/>
        <item m="1" x="1144"/>
        <item m="1" x="752"/>
        <item m="1" x="3476"/>
        <item m="1" x="3665"/>
        <item m="1" x="918"/>
        <item m="1" x="3005"/>
        <item m="1" x="974"/>
        <item m="1" x="4919"/>
        <item x="234"/>
        <item m="1" x="3882"/>
        <item m="1" x="3341"/>
        <item m="1" x="2750"/>
        <item m="1" x="1126"/>
        <item x="42"/>
        <item m="1" x="675"/>
        <item m="1" x="4983"/>
        <item m="1" x="2832"/>
        <item x="408"/>
        <item m="1" x="1579"/>
        <item x="376"/>
        <item x="385"/>
        <item m="1" x="4812"/>
        <item m="1" x="1095"/>
        <item m="1" x="4634"/>
        <item m="1" x="1534"/>
        <item m="1" x="1859"/>
        <item x="591"/>
        <item m="1" x="1418"/>
        <item x="322"/>
        <item m="1" x="1865"/>
        <item x="35"/>
        <item m="1" x="982"/>
        <item x="248"/>
        <item m="1" x="3478"/>
        <item m="1" x="2058"/>
        <item m="1" x="1250"/>
        <item m="1" x="2207"/>
        <item m="1" x="4039"/>
        <item m="1" x="2265"/>
        <item m="1" x="1328"/>
        <item m="1" x="4159"/>
        <item m="1" x="3732"/>
        <item m="1" x="1294"/>
        <item m="1" x="1047"/>
        <item m="1" x="3251"/>
        <item m="1" x="1132"/>
        <item m="1" x="4867"/>
        <item m="1" x="1799"/>
        <item m="1" x="1519"/>
        <item m="1" x="1234"/>
        <item m="1" x="1411"/>
        <item m="1" x="3293"/>
        <item m="1" x="4104"/>
        <item x="180"/>
        <item x="184"/>
        <item m="1" x="2405"/>
        <item x="490"/>
        <item m="1" x="3597"/>
        <item m="1" x="4975"/>
        <item m="1" x="1927"/>
        <item m="1" x="4422"/>
        <item m="1" x="3852"/>
        <item m="1" x="633"/>
        <item m="1" x="4454"/>
        <item x="492"/>
        <item x="516"/>
        <item m="1" x="1360"/>
        <item m="1" x="4499"/>
        <item m="1" x="1414"/>
        <item m="1" x="4911"/>
        <item m="1" x="4562"/>
        <item m="1" x="3924"/>
        <item m="1" x="3079"/>
        <item m="1" x="4844"/>
        <item x="396"/>
        <item m="1" x="4678"/>
        <item m="1" x="2230"/>
        <item x="168"/>
        <item m="1" x="2783"/>
        <item m="1" x="3404"/>
        <item m="1" x="829"/>
        <item m="1" x="4115"/>
        <item m="1" x="1492"/>
        <item m="1" x="751"/>
        <item m="1" x="4316"/>
        <item m="1" x="3678"/>
        <item m="1" x="1810"/>
        <item m="1" x="1039"/>
        <item m="1" x="3196"/>
        <item m="1" x="2664"/>
        <item m="1" x="1866"/>
        <item m="1" x="2328"/>
        <item m="1" x="4937"/>
        <item m="1" x="2926"/>
        <item x="94"/>
        <item m="1" x="4202"/>
        <item m="1" x="4853"/>
        <item m="1" x="3981"/>
        <item m="1" x="804"/>
        <item m="1" x="785"/>
        <item m="1" x="838"/>
        <item m="1" x="3020"/>
        <item x="11"/>
        <item x="383"/>
        <item m="1" x="648"/>
        <item m="1" x="746"/>
        <item m="1" x="4207"/>
        <item m="1" x="4153"/>
        <item x="440"/>
        <item x="173"/>
        <item m="1" x="4915"/>
        <item m="1" x="4372"/>
        <item m="1" x="2951"/>
        <item x="394"/>
        <item m="1" x="2443"/>
        <item m="1" x="3825"/>
        <item x="220"/>
        <item m="1" x="1908"/>
        <item m="1" x="3073"/>
        <item m="1" x="3406"/>
        <item x="189"/>
        <item m="1" x="869"/>
        <item x="498"/>
        <item m="1" x="4751"/>
        <item m="1" x="3963"/>
        <item m="1" x="2063"/>
        <item m="1" x="2727"/>
        <item m="1" x="1439"/>
        <item m="1" x="2643"/>
        <item m="1" x="4710"/>
        <item m="1" x="4512"/>
        <item m="1" x="4160"/>
        <item m="1" x="1912"/>
        <item m="1" x="3618"/>
        <item m="1" x="4343"/>
        <item m="1" x="1114"/>
        <item m="1" x="1036"/>
        <item m="1" x="1412"/>
        <item m="1" x="2987"/>
        <item m="1" x="2422"/>
        <item m="1" x="776"/>
        <item m="1" x="4687"/>
        <item m="1" x="1322"/>
        <item m="1" x="2358"/>
        <item m="1" x="3894"/>
        <item m="1" x="2064"/>
        <item m="1" x="3487"/>
        <item m="1" x="2543"/>
        <item m="1" x="4368"/>
        <item m="1" x="1453"/>
        <item m="1" x="1189"/>
        <item m="1" x="1164"/>
        <item m="1" x="3578"/>
        <item m="1" x="1614"/>
        <item m="1" x="1240"/>
        <item m="1" x="4102"/>
        <item m="1" x="2146"/>
        <item x="526"/>
        <item m="1" x="3424"/>
        <item m="1" x="2880"/>
        <item m="1" x="3976"/>
        <item m="1" x="1664"/>
        <item m="1" x="1247"/>
        <item m="1" x="3910"/>
        <item m="1" x="1742"/>
        <item m="1" x="2758"/>
        <item m="1" x="2765"/>
        <item m="1" x="3215"/>
        <item m="1" x="3656"/>
        <item m="1" x="4636"/>
        <item m="1" x="3644"/>
        <item m="1" x="1984"/>
        <item m="1" x="790"/>
        <item m="1" x="2669"/>
        <item m="1" x="939"/>
        <item m="1" x="3765"/>
        <item m="1" x="1609"/>
        <item m="1" x="2913"/>
        <item m="1" x="1057"/>
        <item x="56"/>
        <item m="1" x="2697"/>
        <item m="1" x="3954"/>
        <item m="1" x="3785"/>
        <item m="1" x="2256"/>
        <item m="1" x="3762"/>
        <item m="1" x="3638"/>
        <item m="1" x="2882"/>
        <item m="1" x="1046"/>
        <item m="1" x="1341"/>
        <item m="1" x="1704"/>
        <item m="1" x="1382"/>
        <item m="1" x="1358"/>
        <item x="560"/>
        <item m="1" x="4062"/>
        <item m="1" x="1297"/>
        <item m="1" x="3548"/>
        <item m="1" x="2317"/>
        <item m="1" x="4133"/>
        <item m="1" x="2342"/>
        <item m="1" x="2690"/>
        <item m="1" x="1352"/>
        <item x="590"/>
        <item m="1" x="4491"/>
        <item m="1" x="1763"/>
        <item m="1" x="2603"/>
        <item m="1" x="1266"/>
        <item m="1" x="1120"/>
        <item m="1" x="4002"/>
        <item m="1" x="4648"/>
        <item x="238"/>
        <item m="1" x="2562"/>
        <item m="1" x="4398"/>
        <item x="481"/>
        <item x="156"/>
        <item x="177"/>
        <item m="1" x="2694"/>
        <item m="1" x="3899"/>
        <item m="1" x="3780"/>
        <item m="1" x="4571"/>
        <item m="1" x="3987"/>
        <item m="1" x="2360"/>
        <item m="1" x="1652"/>
        <item m="1" x="3083"/>
        <item m="1" x="4925"/>
        <item x="268"/>
        <item m="1" x="1729"/>
        <item m="1" x="1735"/>
        <item m="1" x="2113"/>
        <item m="1" x="839"/>
        <item m="1" x="4426"/>
        <item m="1" x="1007"/>
        <item m="1" x="1722"/>
        <item m="1" x="2217"/>
        <item m="1" x="959"/>
        <item m="1" x="3839"/>
        <item m="1" x="727"/>
        <item m="1" x="2205"/>
        <item m="1" x="2756"/>
        <item m="1" x="2856"/>
        <item m="1" x="4782"/>
        <item m="1" x="4558"/>
        <item m="1" x="3462"/>
        <item x="502"/>
        <item x="246"/>
        <item x="231"/>
        <item m="1" x="3737"/>
        <item x="595"/>
        <item x="444"/>
        <item m="1" x="3792"/>
        <item m="1" x="4821"/>
        <item m="1" x="1824"/>
        <item m="1" x="4544"/>
        <item x="63"/>
        <item m="1" x="4248"/>
        <item m="1" x="3689"/>
        <item m="1" x="1929"/>
        <item x="600"/>
        <item m="1" x="3589"/>
        <item m="1" x="3122"/>
        <item m="1" x="4354"/>
        <item m="1" x="4246"/>
        <item m="1" x="3623"/>
        <item m="1" x="1088"/>
        <item m="1" x="1230"/>
        <item m="1" x="2752"/>
        <item m="1" x="4631"/>
        <item m="1" x="1149"/>
        <item m="1" x="1547"/>
        <item m="1" x="4690"/>
        <item x="105"/>
        <item m="1" x="4189"/>
        <item x="311"/>
        <item m="1" x="1485"/>
        <item m="1" x="2223"/>
        <item m="1" x="796"/>
        <item m="1" x="3150"/>
        <item m="1" x="4195"/>
        <item m="1" x="2117"/>
        <item m="1" x="3593"/>
        <item m="1" x="4358"/>
        <item x="269"/>
        <item x="347"/>
        <item x="390"/>
        <item m="1" x="3183"/>
        <item m="1" x="4087"/>
        <item m="1" x="1348"/>
        <item m="1" x="4170"/>
        <item m="1" x="4565"/>
        <item m="1" x="2803"/>
        <item m="1" x="1084"/>
        <item m="1" x="4201"/>
        <item m="1" x="3759"/>
        <item m="1" x="3234"/>
        <item x="361"/>
        <item m="1" x="3808"/>
        <item m="1" x="1364"/>
        <item m="1" x="955"/>
        <item m="1" x="1196"/>
        <item m="1" x="1309"/>
        <item m="1" x="4123"/>
        <item m="1" x="2619"/>
        <item m="1" x="4041"/>
        <item m="1" x="4879"/>
        <item m="1" x="1557"/>
        <item m="1" x="4332"/>
        <item m="1" x="1773"/>
        <item m="1" x="1399"/>
        <item m="1" x="1870"/>
        <item x="568"/>
        <item m="1" x="604"/>
        <item m="1" x="1782"/>
        <item m="1" x="3851"/>
        <item m="1" x="2915"/>
        <item m="1" x="3049"/>
        <item m="1" x="1067"/>
        <item x="512"/>
        <item m="1" x="4506"/>
        <item m="1" x="1542"/>
        <item m="1" x="4363"/>
        <item x="259"/>
        <item m="1" x="4284"/>
        <item m="1" x="1200"/>
        <item m="1" x="3743"/>
        <item m="1" x="1222"/>
        <item m="1" x="2185"/>
        <item m="1" x="4876"/>
        <item m="1" x="4093"/>
        <item m="1" x="1781"/>
        <item m="1" x="3470"/>
        <item m="1" x="2628"/>
        <item m="1" x="2738"/>
        <item m="1" x="3461"/>
        <item m="1" x="4829"/>
        <item x="495"/>
        <item m="1" x="3178"/>
        <item m="1" x="3985"/>
        <item m="1" x="3590"/>
        <item m="1" x="3967"/>
        <item m="1" x="1447"/>
        <item m="1" x="2888"/>
        <item m="1" x="640"/>
        <item m="1" x="3482"/>
        <item m="1" x="2120"/>
        <item m="1" x="3947"/>
        <item m="1" x="1181"/>
        <item x="456"/>
        <item m="1" x="4537"/>
        <item m="1" x="4521"/>
        <item m="1" x="4362"/>
        <item m="1" x="2479"/>
        <item x="30"/>
        <item m="1" x="1553"/>
        <item m="1" x="2042"/>
        <item m="1" x="2585"/>
        <item m="1" x="3961"/>
        <item m="1" x="3226"/>
        <item m="1" x="1272"/>
        <item x="471"/>
        <item m="1" x="4960"/>
        <item m="1" x="4527"/>
        <item m="1" x="3750"/>
        <item x="594"/>
        <item m="1" x="2902"/>
        <item m="1" x="2845"/>
        <item m="1" x="1952"/>
        <item m="1" x="787"/>
        <item m="1" x="1262"/>
        <item m="1" x="820"/>
        <item m="1" x="1306"/>
        <item m="1" x="898"/>
        <item m="1" x="2309"/>
        <item m="1" x="4347"/>
        <item m="1" x="3517"/>
        <item m="1" x="3955"/>
        <item m="1" x="3163"/>
        <item m="1" x="905"/>
        <item m="1" x="4962"/>
        <item m="1" x="4272"/>
        <item m="1" x="1640"/>
        <item m="1" x="2274"/>
        <item m="1" x="4283"/>
        <item m="1" x="2924"/>
        <item m="1" x="2729"/>
        <item m="1" x="2656"/>
        <item m="1" x="3104"/>
        <item m="1" x="1548"/>
        <item m="1" x="2599"/>
        <item m="1" x="797"/>
        <item m="1" x="789"/>
        <item x="356"/>
        <item m="1" x="2588"/>
        <item m="1" x="1068"/>
        <item m="1" x="4769"/>
        <item m="1" x="1999"/>
        <item m="1" x="2825"/>
        <item m="1" x="1331"/>
        <item m="1" x="1820"/>
        <item m="1" x="3015"/>
        <item m="1" x="1320"/>
        <item m="1" x="4249"/>
        <item m="1" x="970"/>
        <item m="1" x="766"/>
        <item m="1" x="1451"/>
        <item m="1" x="4033"/>
        <item m="1" x="3279"/>
        <item m="1" x="1973"/>
        <item m="1" x="2430"/>
        <item m="1" x="3041"/>
        <item m="1" x="4857"/>
        <item m="1" x="1633"/>
        <item x="435"/>
        <item m="1" x="4702"/>
        <item m="1" x="773"/>
        <item m="1" x="2094"/>
        <item m="1" x="4315"/>
        <item x="482"/>
        <item m="1" x="4476"/>
        <item m="1" x="1307"/>
        <item m="1" x="4872"/>
        <item m="1" x="1677"/>
        <item m="1" x="4298"/>
        <item x="569"/>
        <item m="1" x="3700"/>
        <item m="1" x="4608"/>
        <item m="1" x="3187"/>
        <item m="1" x="4146"/>
        <item m="1" x="3013"/>
        <item m="1" x="4619"/>
        <item m="1" x="4653"/>
        <item m="1" x="4253"/>
        <item m="1" x="3931"/>
        <item m="1" x="1755"/>
        <item m="1" x="670"/>
        <item x="470"/>
        <item m="1" x="3749"/>
        <item m="1" x="3559"/>
        <item m="1" x="3542"/>
        <item m="1" x="2504"/>
        <item m="1" x="2084"/>
        <item m="1" x="2896"/>
        <item m="1" x="2353"/>
        <item m="1" x="710"/>
        <item m="1" x="1184"/>
        <item m="1" x="3213"/>
        <item m="1" x="2249"/>
        <item x="499"/>
        <item m="1" x="861"/>
        <item m="1" x="3174"/>
        <item m="1" x="4291"/>
        <item m="1" x="3380"/>
        <item m="1" x="3432"/>
        <item m="1" x="1062"/>
        <item m="1" x="4429"/>
        <item m="1" x="3754"/>
        <item m="1" x="2744"/>
        <item m="1" x="1638"/>
        <item x="286"/>
        <item m="1" x="1974"/>
        <item m="1" x="2887"/>
        <item m="1" x="3306"/>
        <item m="1" x="2680"/>
        <item m="1" x="849"/>
        <item m="1" x="1038"/>
        <item m="1" x="4106"/>
        <item m="1" x="1588"/>
        <item x="60"/>
        <item m="1" x="2305"/>
        <item m="1" x="4461"/>
        <item m="1" x="3832"/>
        <item m="1" x="4525"/>
        <item m="1" x="1709"/>
        <item m="1" x="1857"/>
        <item m="1" x="3992"/>
        <item m="1" x="3397"/>
        <item m="1" x="3039"/>
        <item m="1" x="4010"/>
        <item m="1" x="3671"/>
        <item m="1" x="1288"/>
        <item m="1" x="3553"/>
        <item m="1" x="836"/>
        <item m="1" x="1976"/>
        <item m="1" x="3205"/>
        <item m="1" x="1994"/>
        <item m="1" x="1361"/>
        <item m="1" x="1883"/>
        <item m="1" x="3595"/>
        <item x="528"/>
        <item m="1" x="4929"/>
        <item m="1" x="4887"/>
        <item m="1" x="1527"/>
        <item m="1" x="1099"/>
        <item m="1" x="3717"/>
        <item m="1" x="2283"/>
        <item m="1" x="2560"/>
        <item m="1" x="3875"/>
        <item m="1" x="3908"/>
        <item x="137"/>
        <item m="1" x="1754"/>
        <item m="1" x="4650"/>
        <item m="1" x="3030"/>
        <item m="1" x="4472"/>
        <item m="1" x="2787"/>
        <item m="1" x="4212"/>
        <item m="1" x="2193"/>
        <item m="1" x="618"/>
        <item m="1" x="931"/>
        <item m="1" x="4771"/>
        <item m="1" x="2658"/>
        <item m="1" x="1546"/>
        <item m="1" x="3327"/>
        <item m="1" x="4923"/>
        <item m="1" x="1214"/>
        <item m="1" x="1508"/>
        <item m="1" x="2645"/>
        <item m="1" x="777"/>
        <item x="271"/>
        <item m="1" x="2988"/>
        <item m="1" x="1962"/>
        <item x="317"/>
        <item m="1" x="4907"/>
        <item m="1" x="4346"/>
        <item m="1" x="1599"/>
        <item m="1" x="1632"/>
        <item m="1" x="2444"/>
        <item m="1" x="1115"/>
        <item m="1" x="4142"/>
        <item m="1" x="1510"/>
        <item m="1" x="4600"/>
        <item m="1" x="2630"/>
        <item m="1" x="3202"/>
        <item m="1" x="4445"/>
        <item m="1" x="1315"/>
        <item m="1" x="4794"/>
        <item m="1" x="4172"/>
        <item m="1" x="4353"/>
        <item m="1" x="3831"/>
        <item m="1" x="1383"/>
        <item m="1" x="3176"/>
        <item x="166"/>
        <item m="1" x="3586"/>
        <item m="1" x="3849"/>
        <item m="1" x="3582"/>
        <item m="1" x="2367"/>
        <item m="1" x="756"/>
        <item m="1" x="2671"/>
        <item x="565"/>
        <item x="49"/>
        <item m="1" x="3874"/>
        <item m="1" x="2646"/>
        <item m="1" x="695"/>
        <item m="1" x="2315"/>
        <item m="1" x="2087"/>
        <item m="1" x="2683"/>
        <item x="273"/>
        <item m="1" x="1339"/>
        <item x="20"/>
        <item m="1" x="3694"/>
        <item m="1" x="4976"/>
        <item m="1" x="3714"/>
        <item m="1" x="3660"/>
        <item m="1" x="2676"/>
        <item m="1" x="2672"/>
        <item m="1" x="3172"/>
        <item x="372"/>
        <item m="1" x="2678"/>
        <item x="345"/>
        <item m="1" x="3313"/>
        <item m="1" x="781"/>
        <item m="1" x="3795"/>
        <item m="1" x="3902"/>
        <item m="1" x="3994"/>
        <item m="1" x="3848"/>
        <item m="1" x="4459"/>
        <item m="1" x="2686"/>
        <item m="1" x="1969"/>
        <item m="1" x="2391"/>
        <item m="1" x="1396"/>
        <item m="1" x="4042"/>
        <item x="304"/>
        <item x="77"/>
        <item m="1" x="4306"/>
        <item m="1" x="2039"/>
        <item m="1" x="4612"/>
        <item m="1" x="1100"/>
        <item m="1" x="3035"/>
        <item m="1" x="3396"/>
        <item m="1" x="1053"/>
        <item x="386"/>
        <item m="1" x="2493"/>
        <item x="113"/>
        <item m="1" x="3602"/>
        <item m="1" x="2816"/>
        <item x="34"/>
        <item m="1" x="4007"/>
        <item m="1" x="3526"/>
        <item m="1" x="3577"/>
        <item m="1" x="4591"/>
        <item m="1" x="2901"/>
        <item m="1" x="1061"/>
        <item m="1" x="2815"/>
        <item m="1" x="2574"/>
        <item m="1" x="3471"/>
        <item m="1" x="2544"/>
        <item m="1" x="4510"/>
        <item x="86"/>
        <item m="1" x="809"/>
        <item m="1" x="4223"/>
        <item m="1" x="3506"/>
        <item m="1" x="3711"/>
        <item m="1" x="2612"/>
        <item x="192"/>
        <item m="1" x="2351"/>
        <item m="1" x="2013"/>
        <item m="1" x="3604"/>
        <item m="1" x="2492"/>
        <item m="1" x="4078"/>
        <item m="1" x="3791"/>
        <item m="1" x="1872"/>
        <item m="1" x="2996"/>
        <item m="1" x="2055"/>
        <item m="1" x="4541"/>
        <item m="1" x="1069"/>
        <item m="1" x="4640"/>
        <item m="1" x="4973"/>
        <item m="1" x="3769"/>
        <item m="1" x="691"/>
        <item m="1" x="998"/>
        <item m="1" x="1901"/>
        <item m="1" x="4498"/>
        <item m="1" x="2627"/>
        <item m="1" x="2532"/>
        <item m="1" x="969"/>
        <item m="1" x="1345"/>
        <item m="1" x="3166"/>
        <item m="1" x="3928"/>
        <item m="1" x="763"/>
        <item m="1" x="2884"/>
        <item m="1" x="4734"/>
        <item m="1" x="1761"/>
        <item m="1" x="2311"/>
        <item m="1" x="2724"/>
        <item m="1" x="3516"/>
        <item m="1" x="1398"/>
        <item m="1" x="2075"/>
        <item m="1" x="1532"/>
        <item m="1" x="3911"/>
        <item m="1" x="2373"/>
        <item m="1" x="1202"/>
        <item m="1" x="1656"/>
        <item m="1" x="4345"/>
        <item m="1" x="1186"/>
        <item m="1" x="1064"/>
        <item m="1" x="4626"/>
        <item m="1" x="952"/>
        <item m="1" x="2747"/>
        <item m="1" x="3022"/>
        <item m="1" x="4056"/>
        <item m="1" x="881"/>
        <item m="1" x="3161"/>
        <item m="1" x="3704"/>
        <item x="236"/>
        <item m="1" x="739"/>
        <item m="1" x="1910"/>
        <item m="1" x="2218"/>
        <item m="1" x="1287"/>
        <item m="1" x="3815"/>
        <item m="1" x="4773"/>
        <item m="1" x="637"/>
        <item x="371"/>
        <item m="1" x="1785"/>
        <item m="1" x="2116"/>
        <item m="1" x="2528"/>
        <item m="1" x="2156"/>
        <item m="1" x="4450"/>
        <item m="1" x="2411"/>
        <item m="1" x="4124"/>
        <item m="1" x="2810"/>
        <item m="1" x="4847"/>
        <item m="1" x="2139"/>
        <item m="1" x="4257"/>
        <item m="1" x="1199"/>
        <item m="1" x="4215"/>
        <item m="1" x="2392"/>
        <item m="1" x="2480"/>
        <item m="1" x="3333"/>
        <item m="1" x="3348"/>
        <item m="1" x="1917"/>
        <item m="1" x="728"/>
        <item x="553"/>
        <item m="1" x="3339"/>
        <item m="1" x="3949"/>
        <item m="1" x="3254"/>
        <item m="1" x="4801"/>
        <item m="1" x="3536"/>
        <item m="1" x="1895"/>
        <item x="366"/>
        <item x="291"/>
        <item m="1" x="2782"/>
        <item m="1" x="1030"/>
        <item m="1" x="3253"/>
        <item m="1" x="1689"/>
        <item m="1" x="3089"/>
        <item m="1" x="3540"/>
        <item m="1" x="3999"/>
        <item m="1" x="4968"/>
        <item x="458"/>
        <item m="1" x="4206"/>
        <item m="1" x="1473"/>
        <item m="1" x="2143"/>
        <item m="1" x="642"/>
        <item m="1" x="4132"/>
        <item m="1" x="2461"/>
        <item m="1" x="3085"/>
        <item m="1" x="1941"/>
        <item m="1" x="4061"/>
        <item m="1" x="1645"/>
        <item m="1" x="1415"/>
        <item x="351"/>
        <item m="1" x="4473"/>
        <item m="1" x="717"/>
        <item x="377"/>
        <item m="1" x="4322"/>
        <item m="1" x="1580"/>
        <item m="1" x="2346"/>
        <item m="1" x="4549"/>
        <item m="1" x="2187"/>
        <item m="1" x="2112"/>
        <item m="1" x="1947"/>
        <item m="1" x="4496"/>
        <item m="1" x="2293"/>
        <item x="272"/>
        <item m="1" x="4963"/>
        <item m="1" x="668"/>
        <item x="529"/>
        <item m="1" x="758"/>
        <item m="1" x="1543"/>
        <item x="475"/>
        <item m="1" x="1874"/>
        <item m="1" x="1992"/>
        <item m="1" x="3491"/>
        <item m="1" x="4355"/>
        <item m="1" x="4526"/>
        <item m="1" x="1127"/>
        <item m="1" x="2952"/>
        <item m="1" x="1071"/>
        <item x="514"/>
        <item m="1" x="1133"/>
        <item x="424"/>
        <item m="1" x="1476"/>
        <item m="1" x="1748"/>
        <item m="1" x="3803"/>
        <item m="1" x="2184"/>
        <item m="1" x="2633"/>
        <item m="1" x="4517"/>
        <item m="1" x="1815"/>
        <item m="1" x="1803"/>
        <item m="1" x="801"/>
        <item x="55"/>
        <item m="1" x="2077"/>
        <item x="520"/>
        <item m="1" x="1813"/>
        <item m="1" x="703"/>
        <item m="1" x="3448"/>
        <item m="1" x="2347"/>
        <item m="1" x="4747"/>
        <item m="1" x="4866"/>
        <item m="1" x="1134"/>
        <item m="1" x="3640"/>
        <item m="1" x="1183"/>
        <item m="1" x="3097"/>
        <item x="284"/>
        <item m="1" x="2002"/>
        <item m="1" x="4319"/>
        <item m="1" x="834"/>
        <item m="1" x="3425"/>
        <item m="1" x="2950"/>
        <item m="1" x="2726"/>
        <item m="1" x="1699"/>
        <item m="1" x="1788"/>
        <item m="1" x="4505"/>
        <item m="1" x="1690"/>
        <item m="1" x="2401"/>
        <item m="1" x="2508"/>
        <item m="1" x="1232"/>
        <item m="1" x="1940"/>
        <item m="1" x="3018"/>
        <item m="1" x="4036"/>
        <item x="18"/>
        <item m="1" x="1705"/>
        <item m="1" x="2691"/>
        <item x="138"/>
        <item m="1" x="667"/>
        <item m="1" x="4301"/>
        <item m="1" x="2597"/>
        <item m="1" x="3556"/>
        <item m="1" x="3739"/>
        <item m="1" x="4158"/>
        <item m="1" x="894"/>
        <item m="1" x="1182"/>
        <item m="1" x="4645"/>
        <item m="1" x="886"/>
        <item m="1" x="3418"/>
        <item m="1" x="4924"/>
        <item m="1" x="1502"/>
        <item m="1" x="3485"/>
        <item m="1" x="4828"/>
        <item m="1" x="4611"/>
        <item m="1" x="2123"/>
        <item m="1" x="957"/>
        <item x="511"/>
        <item x="589"/>
        <item x="415"/>
        <item m="1" x="3880"/>
        <item m="1" x="1783"/>
        <item m="1" x="4775"/>
        <item m="1" x="1104"/>
        <item m="1" x="4886"/>
        <item m="1" x="737"/>
        <item m="1" x="3006"/>
        <item m="1" x="2898"/>
        <item x="350"/>
        <item x="290"/>
        <item m="1" x="3771"/>
        <item m="1" x="1564"/>
        <item m="1" x="2327"/>
        <item m="1" x="4697"/>
        <item m="1" x="2194"/>
        <item m="1" x="4018"/>
        <item m="1" x="2855"/>
        <item m="1" x="2322"/>
        <item m="1" x="2847"/>
        <item m="1" x="3926"/>
        <item m="1" x="2095"/>
        <item m="1" x="625"/>
        <item m="1" x="4977"/>
        <item m="1" x="669"/>
        <item m="1" x="3990"/>
        <item m="1" x="2093"/>
        <item m="1" x="1260"/>
        <item m="1" x="2967"/>
        <item m="1" x="1440"/>
        <item m="1" x="2541"/>
        <item m="1" x="2536"/>
        <item m="1" x="3580"/>
        <item m="1" x="1943"/>
        <item x="428"/>
        <item m="1" x="4809"/>
        <item m="1" x="919"/>
        <item m="1" x="888"/>
        <item m="1" x="2261"/>
        <item m="1" x="3220"/>
        <item m="1" x="1775"/>
        <item x="71"/>
        <item m="1" x="2175"/>
        <item m="1" x="2248"/>
        <item m="1" x="964"/>
        <item x="31"/>
        <item m="1" x="2015"/>
        <item x="118"/>
        <item m="1" x="1886"/>
        <item m="1" x="2914"/>
        <item m="1" x="770"/>
        <item m="1" x="2728"/>
        <item m="1" x="3014"/>
        <item m="1" x="3016"/>
        <item m="1" x="3329"/>
        <item m="1" x="2906"/>
        <item m="1" x="1954"/>
        <item m="1" x="3242"/>
        <item m="1" x="610"/>
        <item x="233"/>
        <item m="1" x="2364"/>
        <item x="381"/>
        <item m="1" x="2029"/>
        <item x="355"/>
        <item x="427"/>
        <item x="488"/>
        <item m="1" x="2853"/>
        <item m="1" x="3401"/>
        <item m="1" x="4015"/>
        <item x="203"/>
        <item m="1" x="2974"/>
        <item m="1" x="1809"/>
        <item m="1" x="1702"/>
        <item x="518"/>
        <item m="1" x="2481"/>
        <item m="1" x="1244"/>
        <item m="1" x="4177"/>
        <item m="1" x="4548"/>
        <item m="1" x="1274"/>
        <item m="1" x="1878"/>
        <item m="1" x="4143"/>
        <item m="1" x="1661"/>
        <item m="1" x="1971"/>
        <item m="1" x="1427"/>
        <item x="187"/>
        <item m="1" x="1136"/>
        <item m="1" x="2014"/>
        <item m="1" x="3666"/>
        <item x="52"/>
        <item m="1" x="678"/>
        <item m="1" x="2275"/>
        <item m="1" x="3338"/>
        <item m="1" x="4739"/>
        <item x="348"/>
        <item m="1" x="1051"/>
        <item m="1" x="1480"/>
        <item m="1" x="4883"/>
        <item x="153"/>
        <item m="1" x="786"/>
        <item x="99"/>
        <item m="1" x="3685"/>
        <item m="1" x="812"/>
        <item m="1" x="3681"/>
        <item m="1" x="2476"/>
        <item x="93"/>
        <item m="1" x="2437"/>
        <item m="1" x="1179"/>
        <item m="1" x="2520"/>
        <item m="1" x="3009"/>
        <item m="1" x="3119"/>
        <item m="1" x="1027"/>
        <item m="1" x="657"/>
        <item m="1" x="840"/>
        <item m="1" x="712"/>
        <item x="195"/>
        <item x="146"/>
        <item m="1" x="4065"/>
        <item x="484"/>
        <item m="1" x="4367"/>
        <item m="1" x="3733"/>
        <item m="1" x="3308"/>
        <item m="1" x="3716"/>
        <item m="1" x="1662"/>
        <item m="1" x="3728"/>
        <item m="1" x="3544"/>
        <item m="1" x="2097"/>
        <item m="1" x="2580"/>
        <item m="1" x="4625"/>
        <item m="1" x="2600"/>
        <item m="1" x="4862"/>
        <item m="1" x="1827"/>
        <item m="1" x="1028"/>
        <item m="1" x="1989"/>
        <item m="1" x="609"/>
        <item m="1" x="3729"/>
        <item m="1" x="3059"/>
        <item m="1" x="1798"/>
        <item m="1" x="2682"/>
        <item m="1" x="2657"/>
        <item m="1" x="3512"/>
        <item m="1" x="3772"/>
        <item m="1" x="2488"/>
        <item m="1" x="1672"/>
        <item m="1" x="1484"/>
        <item m="1" x="2911"/>
        <item m="1" x="1370"/>
        <item m="1" x="3893"/>
        <item m="1" x="2772"/>
        <item m="1" x="1321"/>
        <item m="1" x="852"/>
        <item m="1" x="767"/>
        <item m="1" x="3746"/>
        <item x="367"/>
        <item m="1" x="4563"/>
        <item m="1" x="3237"/>
        <item m="1" x="992"/>
        <item m="1" x="4759"/>
        <item m="1" x="4855"/>
        <item m="1" x="3084"/>
        <item m="1" x="3162"/>
        <item m="1" x="4638"/>
        <item m="1" x="4758"/>
        <item m="1" x="1881"/>
        <item m="1" x="4265"/>
        <item m="1" x="3934"/>
        <item m="1" x="1249"/>
        <item m="1" x="4365"/>
        <item m="1" x="2858"/>
        <item m="1" x="3071"/>
        <item x="483"/>
        <item m="1" x="4733"/>
        <item m="1" x="2438"/>
        <item m="1" x="1695"/>
        <item x="83"/>
        <item m="1" x="3549"/>
        <item m="1" x="3392"/>
        <item x="21"/>
        <item m="1" x="4700"/>
        <item m="1" x="1166"/>
        <item m="1" x="3164"/>
        <item m="1" x="1764"/>
        <item m="1" x="980"/>
        <item m="1" x="3189"/>
        <item m="1" x="2033"/>
        <item m="1" x="1665"/>
        <item m="1" x="2978"/>
        <item x="171"/>
        <item m="1" x="4718"/>
        <item x="287"/>
        <item m="1" x="1740"/>
        <item m="1" x="1365"/>
        <item m="1" x="3838"/>
        <item m="1" x="4748"/>
        <item m="1" x="3829"/>
        <item m="1" x="2345"/>
        <item m="1" x="2949"/>
        <item m="1" x="4021"/>
        <item m="1" x="1957"/>
        <item m="1" x="4682"/>
        <item m="1" x="4486"/>
        <item m="1" x="4243"/>
        <item x="548"/>
        <item m="1" x="4584"/>
        <item m="1" x="1238"/>
        <item m="1" x="4241"/>
        <item m="1" x="3973"/>
        <item m="1" x="3641"/>
        <item m="1" x="3383"/>
        <item m="1" x="1718"/>
        <item m="1" x="1536"/>
        <item m="1" x="1389"/>
        <item m="1" x="2092"/>
        <item x="457"/>
        <item m="1" x="961"/>
        <item m="1" x="1620"/>
        <item m="1" x="4130"/>
        <item m="1" x="663"/>
        <item x="497"/>
        <item x="487"/>
        <item x="169"/>
        <item m="1" x="1073"/>
        <item m="1" x="3191"/>
        <item m="1" x="4079"/>
        <item x="469"/>
        <item m="1" x="2960"/>
        <item x="306"/>
        <item m="1" x="2408"/>
        <item m="1" x="1805"/>
        <item m="1" x="624"/>
        <item m="1" x="1641"/>
        <item m="1" x="2355"/>
        <item m="1" x="2937"/>
        <item m="1" x="2748"/>
        <item m="1" x="2471"/>
        <item m="1" x="2186"/>
        <item m="1" x="1776"/>
        <item m="1" x="4791"/>
        <item m="1" x="4602"/>
        <item m="1" x="3913"/>
        <item m="1" x="2334"/>
        <item m="1" x="4630"/>
        <item m="1" x="3382"/>
        <item m="1" x="835"/>
        <item m="1" x="1085"/>
        <item m="1" x="4186"/>
        <item m="1" x="3972"/>
        <item m="1" x="2450"/>
        <item m="1" x="3290"/>
        <item m="1" x="4674"/>
        <item m="1" x="1936"/>
        <item m="1" x="3828"/>
        <item m="1" x="1177"/>
        <item m="1" x="2965"/>
        <item m="1" x="4553"/>
        <item m="1" x="1528"/>
        <item m="1" x="1241"/>
        <item m="1" x="3813"/>
        <item m="1" x="3209"/>
        <item m="1" x="3523"/>
        <item m="1" x="1566"/>
        <item m="1" x="3028"/>
        <item m="1" x="730"/>
        <item m="1" x="3328"/>
        <item m="1" x="3953"/>
        <item m="1" x="2038"/>
        <item m="1" x="2548"/>
        <item m="1" x="782"/>
        <item m="1" x="1497"/>
        <item m="1" x="2555"/>
        <item m="1" x="2867"/>
        <item m="1" x="4745"/>
        <item m="1" x="3445"/>
        <item m="1" x="1919"/>
        <item m="1" x="3789"/>
        <item m="1" x="1867"/>
        <item m="1" x="2910"/>
        <item m="1" x="2647"/>
        <item m="1" x="3024"/>
        <item x="151"/>
        <item m="1" x="2889"/>
        <item m="1" x="4810"/>
        <item m="1" x="4184"/>
        <item m="1" x="2829"/>
        <item m="1" x="3047"/>
        <item m="1" x="3323"/>
        <item x="479"/>
        <item x="155"/>
        <item m="1" x="2429"/>
        <item m="1" x="3276"/>
        <item m="1" x="4609"/>
        <item m="1" x="4238"/>
        <item m="1" x="3847"/>
        <item m="1" x="2743"/>
        <item m="1" x="2766"/>
        <item m="1" x="2007"/>
        <item m="1" x="944"/>
        <item m="1" x="3388"/>
        <item m="1" x="946"/>
        <item m="1" x="2840"/>
        <item m="1" x="1450"/>
        <item m="1" x="3481"/>
        <item m="1" x="2295"/>
        <item m="1" x="1505"/>
        <item m="1" x="2161"/>
        <item m="1" x="2879"/>
        <item m="1" x="4349"/>
        <item m="1" x="4516"/>
        <item m="1" x="1231"/>
        <item x="128"/>
        <item m="1" x="976"/>
        <item m="1" x="3102"/>
        <item m="1" x="4770"/>
        <item m="1" x="3727"/>
        <item m="1" x="1911"/>
        <item m="1" x="2651"/>
        <item m="1" x="4779"/>
        <item m="1" x="4807"/>
        <item m="1" x="2059"/>
        <item m="1" x="753"/>
        <item m="1" x="1043"/>
        <item m="1" x="3052"/>
        <item m="1" x="764"/>
        <item m="1" x="2591"/>
        <item m="1" x="954"/>
        <item m="1" x="3629"/>
        <item m="1" x="2231"/>
        <item m="1" x="2432"/>
        <item x="324"/>
        <item m="1" x="3236"/>
        <item m="1" x="4443"/>
        <item m="1" x="3473"/>
        <item m="1" x="2004"/>
        <item m="1" x="696"/>
        <item x="534"/>
        <item m="1" x="2140"/>
        <item m="1" x="2027"/>
        <item m="1" x="2648"/>
        <item m="1" x="3867"/>
        <item m="1" x="1416"/>
        <item m="1" x="1905"/>
        <item m="1" x="3806"/>
        <item x="486"/>
        <item m="1" x="3330"/>
        <item m="1" x="4260"/>
        <item m="1" x="4437"/>
        <item m="1" x="2237"/>
        <item m="1" x="1168"/>
        <item m="1" x="1107"/>
        <item m="1" x="3719"/>
        <item x="245"/>
        <item m="1" x="1715"/>
        <item m="1" x="1419"/>
        <item m="1" x="2136"/>
        <item m="1" x="2838"/>
        <item m="1" x="1961"/>
        <item m="1" x="4351"/>
        <item m="1" x="1086"/>
        <item m="1" x="2452"/>
        <item m="1" x="2219"/>
        <item m="1" x="3883"/>
        <item m="1" x="4005"/>
        <item m="1" x="2264"/>
        <item m="1" x="3173"/>
        <item x="387"/>
        <item m="1" x="3055"/>
        <item m="1" x="1317"/>
        <item m="1" x="4539"/>
        <item m="1" x="2862"/>
        <item m="1" x="1621"/>
        <item m="1" x="2445"/>
        <item m="1" x="4390"/>
        <item m="1" x="2178"/>
        <item m="1" x="1304"/>
        <item m="1" x="3103"/>
        <item m="1" x="681"/>
        <item m="1" x="1921"/>
        <item m="1" x="3835"/>
        <item m="1" x="4874"/>
        <item m="1" x="1021"/>
        <item m="1" x="3521"/>
        <item m="1" x="1733"/>
        <item m="1" x="4696"/>
        <item m="1" x="4492"/>
        <item m="1" x="3498"/>
        <item m="1" x="2809"/>
        <item m="1" x="3316"/>
        <item m="1" x="2226"/>
        <item m="1" x="2982"/>
        <item m="1" x="3996"/>
        <item m="1" x="4276"/>
        <item m="1" x="2936"/>
        <item m="1" x="733"/>
        <item m="1" x="4725"/>
        <item x="230"/>
        <item m="1" x="4851"/>
        <item m="1" x="3105"/>
        <item m="1" x="2299"/>
        <item m="1" x="3446"/>
        <item m="1" x="4980"/>
        <item x="341"/>
        <item m="1" x="1462"/>
        <item m="1" x="1792"/>
        <item m="1" x="3993"/>
        <item m="1" x="4905"/>
        <item m="1" x="3968"/>
        <item x="342"/>
        <item x="280"/>
        <item m="1" x="4657"/>
        <item m="1" x="1692"/>
        <item m="1" x="639"/>
        <item x="392"/>
        <item m="1" x="3823"/>
        <item m="1" x="2314"/>
        <item m="1" x="4984"/>
        <item x="199"/>
        <item m="1" x="2912"/>
        <item x="442"/>
        <item m="1" x="4155"/>
        <item m="1" x="4805"/>
        <item m="1" x="4800"/>
        <item x="32"/>
        <item m="1" x="1066"/>
        <item m="1" x="1494"/>
        <item m="1" x="4797"/>
        <item m="1" x="1678"/>
        <item m="1" x="2235"/>
        <item m="1" x="3455"/>
        <item m="1" x="1312"/>
        <item m="1" x="3800"/>
        <item m="1" x="4680"/>
        <item m="1" x="1367"/>
        <item m="1" x="2971"/>
        <item m="1" x="2583"/>
        <item m="1" x="2270"/>
        <item m="1" x="1608"/>
        <item m="1" x="1631"/>
        <item m="1" x="2778"/>
        <item m="1" x="914"/>
        <item x="215"/>
        <item m="1" x="4705"/>
        <item x="360"/>
        <item x="62"/>
        <item m="1" x="3186"/>
        <item m="1" x="2611"/>
        <item m="1" x="1651"/>
        <item m="1" x="3469"/>
        <item m="1" x="3012"/>
        <item m="1" x="2162"/>
        <item m="1" x="1137"/>
        <item x="176"/>
        <item x="229"/>
        <item m="1" x="2130"/>
        <item m="1" x="651"/>
        <item m="1" x="2524"/>
        <item x="468"/>
        <item m="1" x="4868"/>
        <item m="1" x="3807"/>
        <item m="1" x="713"/>
        <item m="1" x="4615"/>
        <item m="1" x="2067"/>
        <item x="523"/>
        <item m="1" x="4726"/>
        <item m="1" x="2869"/>
        <item m="1" x="4714"/>
        <item x="182"/>
        <item x="325"/>
        <item m="1" x="3675"/>
        <item m="1" x="3057"/>
        <item m="1" x="1593"/>
        <item x="53"/>
        <item m="1" x="2081"/>
        <item m="1" x="2147"/>
        <item m="1" x="4503"/>
        <item m="1" x="2668"/>
        <item m="1" x="4618"/>
        <item m="1" x="4431"/>
        <item x="336"/>
        <item m="1" x="1925"/>
        <item m="1" x="1388"/>
        <item m="1" x="1229"/>
        <item m="1" x="3496"/>
        <item m="1" x="4603"/>
        <item m="1" x="3367"/>
        <item m="1" x="1146"/>
        <item m="1" x="1589"/>
        <item m="1" x="1685"/>
        <item m="1" x="3622"/>
        <item x="188"/>
        <item m="1" x="814"/>
        <item m="1" x="2003"/>
        <item m="1" x="2073"/>
        <item x="8"/>
        <item m="1" x="3168"/>
        <item m="1" x="4047"/>
        <item m="1" x="3011"/>
        <item m="1" x="2661"/>
        <item m="1" x="3346"/>
        <item x="464"/>
        <item m="1" x="2989"/>
        <item x="513"/>
        <item m="1" x="1002"/>
        <item m="1" x="3272"/>
        <item m="1" x="2012"/>
        <item m="1" x="1448"/>
        <item m="1" x="3311"/>
        <item m="1" x="2243"/>
        <item m="1" x="2582"/>
        <item x="417"/>
        <item m="1" x="2376"/>
        <item m="1" x="2414"/>
        <item m="1" x="2917"/>
        <item m="1" x="2771"/>
        <item m="1" x="3129"/>
        <item m="1" x="1990"/>
        <item m="1" x="2701"/>
        <item m="1" x="4946"/>
        <item m="1" x="1587"/>
        <item m="1" x="2609"/>
        <item m="1" x="4329"/>
        <item x="58"/>
        <item m="1" x="2300"/>
        <item m="1" x="2428"/>
        <item m="1" x="3718"/>
        <item m="1" x="4738"/>
        <item m="1" x="3865"/>
        <item m="1" x="1332"/>
        <item m="1" x="901"/>
        <item m="1" x="2596"/>
        <item m="1" x="3798"/>
        <item m="1" x="1616"/>
        <item m="1" x="1501"/>
        <item m="1" x="4252"/>
        <item m="1" x="1931"/>
        <item m="1" x="4890"/>
        <item m="1" x="3474"/>
        <item x="510"/>
        <item x="370"/>
        <item m="1" x="3056"/>
        <item m="1" x="4381"/>
        <item m="1" x="1504"/>
        <item m="1" x="899"/>
        <item m="1" x="3587"/>
        <item m="1" x="2788"/>
        <item m="1" x="4068"/>
        <item m="1" x="4909"/>
        <item m="1" x="3664"/>
        <item x="474"/>
        <item m="1" x="3796"/>
        <item m="1" x="4487"/>
        <item x="170"/>
        <item x="293"/>
        <item x="533"/>
        <item m="1" x="2158"/>
        <item m="1" x="1747"/>
        <item m="1" x="2407"/>
        <item m="1" x="4772"/>
        <item m="1" x="1654"/>
        <item x="23"/>
        <item x="562"/>
        <item m="1" x="3334"/>
        <item m="1" x="3046"/>
        <item m="1" x="4568"/>
        <item m="1" x="2402"/>
        <item x="536"/>
        <item x="476"/>
        <item m="1" x="3752"/>
        <item m="1" x="4617"/>
        <item m="1" x="1455"/>
        <item m="1" x="4388"/>
        <item m="1" x="708"/>
        <item m="1" x="1425"/>
        <item m="1" x="3502"/>
        <item m="1" x="1187"/>
        <item m="1" x="2425"/>
        <item m="1" x="3158"/>
        <item m="1" x="3210"/>
        <item m="1" x="3075"/>
        <item m="1" x="2023"/>
        <item x="260"/>
        <item m="1" x="4317"/>
        <item m="1" x="1899"/>
        <item m="1" x="4504"/>
        <item m="1" x="989"/>
        <item m="1" x="2174"/>
        <item m="1" x="2800"/>
        <item m="1" x="4321"/>
        <item m="1" x="3180"/>
        <item m="1" x="4935"/>
        <item m="1" x="4644"/>
        <item m="1" x="3698"/>
        <item m="1" x="1610"/>
        <item m="1" x="2119"/>
        <item m="1" x="1298"/>
        <item m="1" x="2255"/>
        <item m="1" x="2403"/>
        <item m="1" x="4464"/>
        <item m="1" x="1175"/>
        <item m="1" x="4066"/>
        <item m="1" x="4573"/>
        <item m="1" x="1413"/>
        <item m="1" x="2931"/>
        <item x="380"/>
        <item x="100"/>
        <item x="473"/>
        <item m="1" x="3956"/>
        <item m="1" x="4314"/>
        <item x="338"/>
        <item m="1" x="4126"/>
        <item m="1" x="1188"/>
        <item m="1" x="3155"/>
        <item m="1" x="3264"/>
        <item x="121"/>
        <item m="1" x="2011"/>
        <item x="555"/>
        <item x="302"/>
        <item m="1" x="1726"/>
        <item m="1" x="3634"/>
        <item m="1" x="2980"/>
        <item m="1" x="1467"/>
        <item m="1" x="1617"/>
        <item m="1" x="2365"/>
        <item m="1" x="4447"/>
        <item m="1" x="4050"/>
        <item m="1" x="2918"/>
        <item m="1" x="3581"/>
        <item m="1" x="1112"/>
        <item m="1" x="3206"/>
        <item m="1" x="1793"/>
        <item x="194"/>
        <item m="1" x="1907"/>
        <item x="465"/>
        <item m="1" x="3834"/>
        <item m="1" x="4508"/>
        <item x="51"/>
        <item m="1" x="1818"/>
        <item m="1" x="4168"/>
        <item m="1" x="3646"/>
        <item m="1" x="4841"/>
        <item m="1" x="4519"/>
        <item m="1" x="3299"/>
        <item m="1" x="3214"/>
        <item m="1" x="1040"/>
        <item m="1" x="1843"/>
        <item m="1" x="4154"/>
        <item m="1" x="2323"/>
        <item m="1" x="4686"/>
        <item m="1" x="2247"/>
        <item m="1" x="2617"/>
        <item m="1" x="2850"/>
        <item x="323"/>
        <item m="1" x="2812"/>
        <item x="226"/>
        <item m="1" x="3499"/>
        <item m="1" x="4740"/>
        <item m="1" x="4258"/>
        <item m="1" x="3195"/>
        <item m="1" x="4441"/>
        <item m="1" x="1405"/>
        <item m="1" x="3708"/>
        <item x="409"/>
        <item m="1" x="1770"/>
        <item m="1" x="4080"/>
        <item m="1" x="2282"/>
        <item m="1" x="2276"/>
        <item m="1" x="2500"/>
        <item m="1" x="4179"/>
        <item m="1" x="2449"/>
        <item m="1" x="2224"/>
        <item m="1" x="4623"/>
        <item m="1" x="1991"/>
        <item m="1" x="1363"/>
        <item m="1" x="4256"/>
        <item m="1" x="3034"/>
        <item m="1" x="1769"/>
        <item m="1" x="1738"/>
        <item m="1" x="4536"/>
        <item m="1" x="1768"/>
        <item m="1" x="1509"/>
        <item m="1" x="707"/>
        <item x="564"/>
        <item m="1" x="2813"/>
        <item m="1" x="1056"/>
        <item m="1" x="1821"/>
        <item m="1" x="2754"/>
        <item m="1" x="4333"/>
        <item x="47"/>
        <item m="1" x="1915"/>
        <item m="1" x="4374"/>
        <item m="1" x="4088"/>
        <item m="1" x="2366"/>
        <item m="1" x="1410"/>
        <item m="1" x="2705"/>
        <item m="1" x="1760"/>
        <item m="1" x="4637"/>
        <item m="1" x="3138"/>
        <item m="1" x="3493"/>
        <item m="1" x="2000"/>
        <item x="4"/>
        <item m="1" x="1562"/>
        <item x="363"/>
        <item m="1" x="889"/>
        <item m="1" x="2572"/>
        <item m="1" x="3387"/>
        <item m="1" x="4930"/>
        <item m="1" x="3364"/>
        <item m="1" x="1829"/>
        <item x="202"/>
        <item m="1" x="2761"/>
        <item m="1" x="3818"/>
        <item m="1" x="1452"/>
        <item m="1" x="2453"/>
        <item m="1" x="3157"/>
        <item m="1" x="3833"/>
        <item m="1" x="4529"/>
        <item x="549"/>
        <item m="1" x="1026"/>
        <item m="1" x="1005"/>
        <item x="72"/>
        <item m="1" x="1080"/>
        <item x="452"/>
        <item m="1" x="1193"/>
        <item x="25"/>
        <item m="1" x="2595"/>
        <item m="1" x="2460"/>
        <item m="1" x="2339"/>
        <item m="1" x="3670"/>
        <item m="1" x="3860"/>
        <item m="1" x="1257"/>
        <item m="1" x="3799"/>
        <item m="1" x="3393"/>
        <item m="1" x="1291"/>
        <item m="1" x="3929"/>
        <item x="532"/>
        <item m="1" x="630"/>
        <item m="1" x="2041"/>
        <item m="1" x="1679"/>
        <item m="1" x="1267"/>
        <item m="1" x="2549"/>
        <item x="175"/>
        <item m="1" x="2357"/>
        <item x="496"/>
        <item m="1" x="3141"/>
        <item m="1" x="2985"/>
        <item m="1" x="3370"/>
        <item m="1" x="1161"/>
        <item m="1" x="2768"/>
        <item x="97"/>
        <item x="59"/>
        <item m="1" x="3970"/>
        <item x="255"/>
        <item m="1" x="4916"/>
        <item x="76"/>
        <item x="402"/>
        <item m="1" x="2929"/>
        <item m="1" x="3826"/>
        <item m="1" x="2608"/>
        <item x="124"/>
        <item x="264"/>
        <item m="1" x="690"/>
        <item x="425"/>
        <item m="1" x="1011"/>
        <item m="1" x="4500"/>
        <item m="1" x="831"/>
        <item m="1" x="1701"/>
        <item m="1" x="2478"/>
        <item m="1" x="2166"/>
        <item m="1" x="4819"/>
        <item x="122"/>
        <item m="1" x="4479"/>
        <item m="1" x="879"/>
        <item m="1" x="2863"/>
        <item m="1" x="4417"/>
        <item m="1" x="4669"/>
        <item m="1" x="2618"/>
        <item x="250"/>
        <item m="1" x="4783"/>
        <item m="1" x="2462"/>
        <item m="1" x="1401"/>
        <item m="1" x="3038"/>
        <item m="1" x="3645"/>
        <item m="1" x="2578"/>
        <item m="1" x="2009"/>
        <item m="1" x="4921"/>
        <item x="38"/>
        <item x="266"/>
        <item x="449"/>
        <item m="1" x="4567"/>
        <item m="1" x="4901"/>
        <item m="1" x="1567"/>
        <item m="1" x="4125"/>
        <item m="1" x="2121"/>
        <item m="1" x="2470"/>
        <item m="1" x="3118"/>
        <item m="1" x="3605"/>
        <item m="1" x="1876"/>
        <item m="1" x="1429"/>
        <item m="1" x="2378"/>
        <item m="1" x="4236"/>
        <item m="1" x="3793"/>
        <item m="1" x="4806"/>
        <item m="1" x="3407"/>
        <item m="1" x="4323"/>
        <item x="102"/>
        <item x="135"/>
        <item m="1" x="1995"/>
        <item m="1" x="2991"/>
        <item m="1" x="4596"/>
        <item m="1" x="1666"/>
        <item m="1" x="3096"/>
        <item m="1" x="1281"/>
        <item m="1" x="2890"/>
        <item m="1" x="3918"/>
        <item x="538"/>
        <item m="1" x="1960"/>
        <item m="1" x="1406"/>
        <item m="1" x="3643"/>
        <item x="185"/>
        <item m="1" x="1826"/>
        <item m="1" x="4730"/>
        <item m="1" x="2091"/>
        <item m="1" x="4295"/>
        <item m="1" x="3625"/>
        <item m="1" x="900"/>
        <item m="1" x="1658"/>
        <item m="1" x="4540"/>
        <item m="1" x="1444"/>
        <item m="1" x="662"/>
        <item m="1" x="2484"/>
        <item m="1" x="2521"/>
        <item m="1" x="1830"/>
        <item m="1" x="2017"/>
        <item m="1" x="3503"/>
        <item m="1" x="4652"/>
        <item m="1" x="3751"/>
        <item m="1" x="2020"/>
        <item m="1" x="3239"/>
        <item m="1" x="1626"/>
        <item m="1" x="3887"/>
        <item m="1" x="722"/>
        <item m="1" x="1446"/>
        <item m="1" x="3240"/>
        <item m="1" x="3688"/>
        <item m="1" x="3960"/>
        <item m="1" x="3568"/>
        <item m="1" x="2183"/>
        <item m="1" x="3263"/>
        <item m="1" x="4141"/>
        <item m="1" x="1556"/>
        <item m="1" x="2233"/>
        <item x="319"/>
        <item m="1" x="1643"/>
        <item m="1" x="1880"/>
        <item m="1" x="1421"/>
        <item m="1" x="3621"/>
        <item m="1" x="2848"/>
        <item m="1" x="4846"/>
        <item m="1" x="3175"/>
        <item m="1" x="2571"/>
        <item m="1" x="3080"/>
        <item m="1" x="4908"/>
        <item m="1" x="1719"/>
        <item m="1" x="2096"/>
        <item m="1" x="4221"/>
        <item m="1" x="4570"/>
        <item x="57"/>
        <item m="1" x="2362"/>
        <item m="1" x="3837"/>
        <item m="1" x="3805"/>
        <item m="1" x="2621"/>
        <item m="1" x="2287"/>
        <item m="1" x="3377"/>
        <item m="1" x="962"/>
        <item x="123"/>
        <item m="1" x="1848"/>
        <item m="1" x="665"/>
        <item m="1" x="2204"/>
        <item x="110"/>
        <item m="1" x="4361"/>
        <item m="1" x="3463"/>
        <item m="1" x="2371"/>
        <item m="1" x="2636"/>
        <item m="1" x="1732"/>
        <item m="1" x="4205"/>
        <item m="1" x="2501"/>
        <item m="1" x="2424"/>
        <item m="1" x="3788"/>
        <item m="1" x="2250"/>
        <item m="1" x="2418"/>
        <item m="1" x="2272"/>
        <item m="1" x="863"/>
        <item m="1" x="815"/>
        <item m="1" x="1350"/>
        <item m="1" x="1211"/>
        <item m="1" x="4222"/>
        <item m="1" x="715"/>
        <item m="1" x="880"/>
        <item x="223"/>
        <item m="1" x="3114"/>
        <item m="1" x="3534"/>
        <item x="225"/>
        <item x="159"/>
        <item m="1" x="788"/>
        <item m="1" x="2593"/>
        <item m="1" x="4944"/>
        <item m="1" x="3563"/>
        <item m="1" x="3575"/>
        <item m="1" x="1680"/>
        <item m="1" x="1221"/>
        <item m="1" x="2992"/>
        <item m="1" x="3179"/>
        <item m="1" x="4211"/>
        <item m="1" x="2044"/>
        <item m="1" x="4575"/>
        <item m="1" x="3916"/>
        <item m="1" x="2289"/>
        <item m="1" x="2983"/>
        <item m="1" x="656"/>
        <item m="1" x="2666"/>
        <item x="596"/>
        <item m="1" x="2440"/>
        <item m="1" x="1121"/>
        <item m="1" x="2539"/>
        <item m="1" x="2134"/>
        <item x="12"/>
        <item m="1" x="3134"/>
        <item x="10"/>
        <item x="158"/>
        <item m="1" x="4613"/>
        <item m="1" x="3998"/>
        <item m="1" x="2294"/>
        <item m="1" x="2659"/>
        <item m="1" x="3745"/>
        <item m="1" x="1373"/>
        <item m="1" x="2260"/>
        <item m="1" x="1938"/>
        <item m="1" x="2083"/>
        <item m="1" x="1176"/>
        <item m="1" x="1571"/>
        <item m="1" x="3722"/>
        <item m="1" x="2018"/>
        <item m="1" x="4717"/>
        <item m="1" x="4643"/>
        <item m="1" x="2551"/>
        <item m="1" x="3984"/>
        <item m="1" x="2784"/>
        <item m="1" x="2739"/>
        <item m="1" x="4110"/>
        <item m="1" x="3121"/>
        <item m="1" x="3489"/>
        <item m="1" x="924"/>
        <item x="211"/>
        <item m="1" x="3547"/>
        <item m="1" x="994"/>
        <item m="1" x="3925"/>
        <item m="1" x="2994"/>
        <item m="1" x="2416"/>
        <item x="9"/>
        <item m="1" x="1314"/>
        <item m="1" x="2107"/>
        <item m="1" x="1787"/>
        <item m="1" x="4881"/>
        <item m="1" x="1428"/>
        <item m="1" x="2927"/>
        <item m="1" x="2221"/>
        <item m="1" x="647"/>
        <item m="1" x="4842"/>
        <item m="1" x="1033"/>
        <item m="1" x="2109"/>
        <item m="1" x="4413"/>
        <item x="527"/>
        <item m="1" x="2446"/>
        <item m="1" x="1037"/>
        <item m="1" x="4233"/>
        <item m="1" x="653"/>
        <item m="1" x="4737"/>
        <item x="572"/>
        <item m="1" x="1130"/>
        <item m="1" x="1896"/>
        <item x="313"/>
        <item m="1" x="1703"/>
        <item m="1" x="4793"/>
        <item m="1" x="4621"/>
        <item x="545"/>
        <item m="1" x="4396"/>
        <item m="1" x="4185"/>
        <item m="1" x="774"/>
        <item m="1" x="3342"/>
        <item m="1" x="1087"/>
        <item m="1" x="4383"/>
        <item x="404"/>
        <item m="1" x="1975"/>
        <item m="1" x="4099"/>
        <item m="1" x="2721"/>
        <item m="1" x="3653"/>
        <item m="1" x="1774"/>
        <item m="1" x="2195"/>
        <item m="1" x="3531"/>
        <item x="489"/>
        <item x="399"/>
        <item m="1" x="4244"/>
        <item m="1" x="2491"/>
        <item m="1" x="2695"/>
        <item m="1" x="3419"/>
        <item m="1" x="3309"/>
        <item m="1" x="2188"/>
        <item m="1" x="4554"/>
        <item m="1" x="3421"/>
        <item m="1" x="2620"/>
        <item m="1" x="4716"/>
        <item m="1" x="4906"/>
        <item m="1" x="4366"/>
        <item m="1" x="3760"/>
        <item m="1" x="4845"/>
        <item x="46"/>
        <item m="1" x="1790"/>
        <item m="1" x="3654"/>
        <item m="1" x="4786"/>
        <item m="1" x="2660"/>
        <item m="1" x="2404"/>
        <item m="1" x="4721"/>
        <item m="1" x="4646"/>
        <item m="1" x="1756"/>
        <item m="1" x="2613"/>
        <item m="1" x="1772"/>
        <item m="1" x="3142"/>
        <item m="1" x="1253"/>
        <item m="1" x="3427"/>
        <item m="1" x="956"/>
        <item m="1" x="1711"/>
        <item m="1" x="1265"/>
        <item m="1" x="2817"/>
        <item m="1" x="1674"/>
        <item m="1" x="2710"/>
        <item m="1" x="1897"/>
        <item m="1" x="2709"/>
        <item m="1" x="1198"/>
        <item m="1" x="4299"/>
        <item m="1" x="1825"/>
        <item m="1" x="4985"/>
        <item m="1" x="622"/>
        <item m="1" x="929"/>
        <item m="1" x="3786"/>
        <item m="1" x="794"/>
        <item m="1" x="654"/>
        <item x="540"/>
        <item m="1" x="1801"/>
        <item m="1" x="3464"/>
        <item x="140"/>
        <item x="50"/>
        <item m="1" x="1993"/>
        <item m="1" x="1574"/>
        <item m="1" x="2363"/>
        <item m="1" x="1885"/>
        <item m="1" x="666"/>
        <item m="1" x="3386"/>
        <item m="1" x="1468"/>
        <item m="1" x="1526"/>
        <item m="1" x="1731"/>
        <item m="1" x="4150"/>
        <item x="362"/>
        <item m="1" x="1903"/>
        <item m="1" x="1540"/>
        <item m="1" x="4350"/>
        <item m="1" x="895"/>
        <item x="242"/>
        <item m="1" x="2590"/>
        <item m="1" x="4523"/>
        <item m="1" x="2519"/>
        <item m="1" x="1059"/>
        <item m="1" x="1582"/>
        <item m="1" x="4434"/>
        <item m="1" x="4325"/>
        <item x="183"/>
        <item m="1" x="1863"/>
        <item m="1" x="3033"/>
        <item m="1" x="4181"/>
        <item m="1" x="734"/>
        <item m="1" x="4140"/>
        <item x="14"/>
        <item m="1" x="3345"/>
        <item m="1" x="4861"/>
        <item m="1" x="2649"/>
        <item m="1" x="2269"/>
        <item m="1" x="4616"/>
        <item m="1" x="3766"/>
        <item m="1" x="4749"/>
        <item m="1" x="3881"/>
        <item m="1" x="3738"/>
        <item m="1" x="2212"/>
        <item m="1" x="4967"/>
        <item m="1" x="4632"/>
        <item m="1" x="3317"/>
        <item m="1" x="1282"/>
        <item m="1" x="3868"/>
        <item m="1" x="1811"/>
        <item m="1" x="1549"/>
        <item m="1" x="1533"/>
        <item m="1" x="3652"/>
        <item m="1" x="1517"/>
        <item m="1" x="3064"/>
        <item m="1" x="4309"/>
        <item m="1" x="947"/>
        <item m="1" x="4660"/>
        <item x="197"/>
        <item m="1" x="1395"/>
        <item m="1" x="4393"/>
        <item m="1" x="3436"/>
        <item m="1" x="3663"/>
        <item m="1" x="4834"/>
        <item m="1" x="3399"/>
        <item m="1" x="4569"/>
        <item m="1" x="1639"/>
        <item m="1" x="4375"/>
        <item m="1" x="4606"/>
        <item m="1" x="4954"/>
        <item x="454"/>
        <item m="1" x="4404"/>
        <item m="1" x="2824"/>
        <item m="1" x="4305"/>
        <item m="1" x="1998"/>
        <item m="1" x="1245"/>
        <item m="1" x="4308"/>
        <item m="1" x="4695"/>
        <item m="1" x="2720"/>
        <item m="1" x="4952"/>
        <item m="1" x="4742"/>
        <item x="172"/>
        <item m="1" x="3770"/>
        <item m="1" x="4825"/>
        <item m="1" x="3149"/>
        <item m="1" x="4416"/>
        <item m="1" x="2760"/>
        <item x="214"/>
        <item m="1" x="3537"/>
        <item m="1" x="4452"/>
        <item m="1" x="2614"/>
        <item m="1" x="2972"/>
        <item m="1" x="621"/>
        <item m="1" x="2706"/>
        <item m="1" x="3940"/>
        <item m="1" x="2271"/>
        <item m="1" x="4665"/>
        <item m="1" x="1255"/>
        <item m="1" x="1909"/>
        <item m="1" x="2421"/>
        <item x="330"/>
        <item m="1" x="3094"/>
        <item m="1" x="3508"/>
        <item m="1" x="1016"/>
        <item m="1" x="3730"/>
        <item m="1" x="2842"/>
        <item m="1" x="4753"/>
        <item x="397"/>
        <item m="1" x="3439"/>
        <item m="1" x="1324"/>
        <item m="1" x="2737"/>
        <item m="1" x="4762"/>
        <item m="1" x="611"/>
        <item x="346"/>
        <item m="1" x="4939"/>
        <item m="1" x="2806"/>
        <item m="1" x="3107"/>
        <item m="1" x="948"/>
        <item m="1" x="2172"/>
        <item x="258"/>
        <item m="1" x="1697"/>
        <item m="1" x="2872"/>
        <item m="1" x="1012"/>
        <item m="1" x="2316"/>
        <item m="1" x="2707"/>
        <item m="1" x="720"/>
        <item m="1" x="4051"/>
        <item m="1" x="3321"/>
        <item m="1" x="1828"/>
        <item m="1" x="3997"/>
        <item m="1" x="2684"/>
        <item m="1" x="4768"/>
        <item m="1" x="4278"/>
        <item m="1" x="2262"/>
        <item m="1" x="1457"/>
        <item m="1" x="2034"/>
        <item m="1" x="2377"/>
        <item m="1" x="3451"/>
        <item m="1" x="4364"/>
        <item m="1" x="4940"/>
        <item m="1" x="2966"/>
        <item x="221"/>
        <item m="1" x="2490"/>
        <item m="1" x="3021"/>
        <item m="1" x="3131"/>
        <item m="1" x="2066"/>
        <item m="1" x="4151"/>
        <item m="1" x="4157"/>
        <item m="1" x="4263"/>
        <item x="201"/>
        <item x="447"/>
        <item m="1" x="4474"/>
        <item m="1" x="1466"/>
        <item m="1" x="3245"/>
        <item m="1" x="3036"/>
        <item m="1" x="2554"/>
        <item m="1" x="4891"/>
        <item m="1" x="2515"/>
        <item m="1" x="4229"/>
        <item m="1" x="4711"/>
        <item m="1" x="4073"/>
        <item m="1" x="1629"/>
        <item m="1" x="2030"/>
        <item m="1" x="1044"/>
        <item m="1" x="3524"/>
        <item m="1" x="2733"/>
        <item m="1" x="2393"/>
        <item m="1" x="1630"/>
        <item m="1" x="2372"/>
        <item m="1" x="904"/>
        <item m="1" x="3859"/>
        <item m="1" x="3574"/>
        <item m="1" x="2859"/>
        <item m="1" x="842"/>
        <item m="1" x="2048"/>
        <item m="1" x="4823"/>
        <item m="1" x="1922"/>
        <item m="1" x="3301"/>
        <item m="1" x="615"/>
        <item m="1" x="3344"/>
        <item m="1" x="1581"/>
        <item m="1" x="3850"/>
        <item x="218"/>
        <item x="289"/>
        <item m="1" x="2448"/>
        <item m="1" x="4647"/>
        <item m="1" x="701"/>
        <item m="1" x="4011"/>
        <item m="1" x="4649"/>
        <item m="1" x="4456"/>
        <item x="126"/>
        <item x="241"/>
        <item m="1" x="2319"/>
        <item m="1" x="2441"/>
        <item m="1" x="2288"/>
        <item m="1" x="4706"/>
        <item m="1" x="3631"/>
        <item m="1" x="4360"/>
        <item m="1" x="2851"/>
        <item m="1" x="3050"/>
        <item m="1" x="1407"/>
        <item m="1" x="3127"/>
        <item m="1" x="2337"/>
        <item m="1" x="3248"/>
        <item m="1" x="1125"/>
        <item m="1" x="2216"/>
        <item m="1" x="4230"/>
        <item m="1" x="736"/>
        <item m="1" x="3042"/>
        <item m="1" x="2286"/>
        <item m="1" x="4145"/>
        <item m="1" x="1459"/>
        <item m="1" x="2581"/>
        <item m="1" x="4893"/>
        <item x="48"/>
        <item m="1" x="2222"/>
        <item m="1" x="887"/>
        <item m="1" x="4668"/>
        <item m="1" x="4703"/>
        <item x="437"/>
        <item m="1" x="3585"/>
        <item m="1" x="3098"/>
        <item x="450"/>
        <item m="1" x="4856"/>
        <item m="1" x="1953"/>
        <item m="1" x="4587"/>
        <item m="1" x="2631"/>
        <item m="1" x="3890"/>
        <item m="1" x="3398"/>
        <item m="1" x="686"/>
        <item m="1" x="2900"/>
        <item x="515"/>
        <item m="1" x="3384"/>
        <item m="1" x="4060"/>
        <item m="1" x="2789"/>
        <item x="204"/>
        <item m="1" x="1217"/>
        <item m="1" x="2731"/>
        <item m="1" x="2155"/>
        <item m="1" x="1226"/>
        <item m="1" x="2497"/>
        <item m="1" x="4370"/>
        <item x="252"/>
        <item m="1" x="1516"/>
        <item m="1" x="2028"/>
        <item m="1" x="2767"/>
        <item m="1" x="3087"/>
        <item m="1" x="4101"/>
        <item m="1" x="1207"/>
        <item m="1" x="1409"/>
        <item m="1" x="1359"/>
        <item m="1" x="4282"/>
        <item m="1" x="2632"/>
        <item m="1" x="2534"/>
        <item m="1" x="4402"/>
        <item m="1" x="2699"/>
        <item m="1" x="3259"/>
        <item m="1" x="1293"/>
        <item m="1" x="1688"/>
        <item m="1" x="4455"/>
        <item m="1" x="2201"/>
        <item m="1" x="1592"/>
        <item m="1" x="2819"/>
        <item m="1" x="1687"/>
        <item m="1" x="2938"/>
        <item m="1" x="4003"/>
        <item m="1" x="872"/>
        <item m="1" x="874"/>
        <item m="1" x="2037"/>
        <item m="1" x="2704"/>
        <item m="1" x="2466"/>
        <item m="1" x="1950"/>
        <item m="1" x="1075"/>
        <item m="1" x="1422"/>
        <item m="1" x="3025"/>
        <item m="1" x="2036"/>
        <item x="462"/>
        <item m="1" x="4069"/>
        <item m="1" x="2688"/>
        <item m="1" x="3744"/>
        <item m="1" x="3349"/>
        <item m="1" x="4889"/>
        <item m="1" x="2622"/>
        <item m="1" x="2280"/>
        <item m="1" x="4816"/>
        <item m="1" x="1351"/>
        <item m="1" x="3856"/>
        <item m="1" x="3900"/>
        <item m="1" x="4120"/>
        <item m="1" x="4961"/>
        <item m="1" x="1583"/>
        <item x="282"/>
        <item m="1" x="4053"/>
        <item m="1" x="3679"/>
        <item x="521"/>
        <item m="1" x="3197"/>
        <item m="1" x="3262"/>
        <item m="1" x="2258"/>
        <item m="1" x="1525"/>
        <item m="1" x="1551"/>
        <item m="1" x="1914"/>
        <item m="1" x="1319"/>
        <item m="1" x="649"/>
        <item m="1" x="2085"/>
        <item x="337"/>
        <item x="281"/>
        <item m="1" x="1329"/>
        <item m="1" x="1668"/>
        <item m="1" x="3637"/>
        <item m="1" x="2086"/>
        <item m="1" x="3274"/>
        <item m="1" x="3037"/>
        <item m="1" x="4951"/>
        <item x="368"/>
        <item x="358"/>
        <item m="1" x="2433"/>
        <item m="1" x="4128"/>
        <item m="1" x="3912"/>
        <item m="1" x="858"/>
        <item m="1" x="1394"/>
        <item x="364"/>
        <item x="297"/>
        <item m="1" x="2049"/>
        <item m="1" x="920"/>
        <item m="1" x="2821"/>
        <item m="1" x="4458"/>
        <item m="1" x="4589"/>
        <item m="1" x="3061"/>
        <item x="28"/>
        <item m="1" x="1890"/>
        <item m="1" x="4387"/>
        <item m="1" x="4684"/>
        <item m="1" x="2279"/>
        <item m="1" x="2298"/>
        <item m="1" x="3099"/>
        <item m="1" x="2124"/>
        <item m="1" x="1522"/>
        <item x="139"/>
        <item m="1" x="3573"/>
        <item m="1" x="2335"/>
        <item m="1" x="1838"/>
        <item m="1" x="3413"/>
        <item m="1" x="4134"/>
        <item m="1" x="1097"/>
        <item m="1" x="2857"/>
        <item m="1" x="2227"/>
        <item m="1" x="1157"/>
        <item m="1" x="3758"/>
        <item m="1" x="3713"/>
        <item m="1" x="3410"/>
        <item m="1" x="2131"/>
        <item m="1" x="1162"/>
        <item m="1" x="2932"/>
        <item m="1" x="2956"/>
        <item x="508"/>
        <item x="85"/>
        <item x="117"/>
        <item m="1" x="3501"/>
        <item m="1" x="1302"/>
        <item m="1" x="903"/>
        <item m="1" x="3120"/>
        <item m="1" x="3200"/>
        <item m="1" x="3778"/>
        <item m="1" x="1456"/>
        <item m="1" x="1682"/>
        <item m="1" x="1949"/>
        <item m="1" x="4342"/>
        <item m="1" x="3853"/>
        <item m="1" x="4199"/>
        <item m="1" x="4401"/>
        <item m="1" x="4727"/>
        <item m="1" x="4590"/>
        <item m="1" x="4871"/>
        <item m="1" x="1111"/>
        <item m="1" x="2232"/>
        <item m="1" x="4604"/>
        <item x="519"/>
        <item m="1" x="2525"/>
        <item m="1" x="4837"/>
        <item m="1" x="2997"/>
        <item m="1" x="3310"/>
        <item m="1" x="3756"/>
        <item x="33"/>
        <item m="1" x="3372"/>
        <item m="1" x="1206"/>
        <item m="1" x="1913"/>
        <item m="1" x="4336"/>
        <item m="1" x="3217"/>
        <item m="1" x="1558"/>
        <item m="1" x="3932"/>
        <item m="1" x="1807"/>
        <item m="1" x="3095"/>
        <item m="1" x="3467"/>
        <item m="1" x="4082"/>
        <item x="531"/>
        <item m="1" x="1022"/>
        <item m="1" x="2742"/>
        <item x="334"/>
        <item m="1" x="3486"/>
        <item m="1" x="1219"/>
        <item m="1" x="1988"/>
        <item m="1" x="1145"/>
        <item m="1" x="3378"/>
        <item m="1" x="4020"/>
        <item x="557"/>
        <item m="1" x="3140"/>
        <item m="1" x="1135"/>
        <item m="1" x="822"/>
        <item m="1" x="2324"/>
        <item m="1" x="2892"/>
        <item m="1" x="2126"/>
        <item m="1" x="2352"/>
        <item x="213"/>
        <item m="1" x="2529"/>
        <item m="1" x="1381"/>
        <item m="1" x="1101"/>
        <item m="1" x="2259"/>
        <item m="1" x="2874"/>
        <item x="16"/>
        <item x="101"/>
        <item m="1" x="1727"/>
        <item x="500"/>
        <item m="1" x="4708"/>
        <item m="1" x="1169"/>
        <item m="1" x="4031"/>
        <item m="1" x="4225"/>
        <item m="1" x="1980"/>
        <item m="1" x="3888"/>
        <item m="1" x="1280"/>
        <item m="1" x="1531"/>
        <item m="1" x="1024"/>
        <item m="1" x="3154"/>
        <item x="544"/>
        <item m="1" x="1154"/>
        <item m="1" x="704"/>
        <item m="1" x="4045"/>
        <item x="407"/>
        <item m="1" x="1438"/>
        <item m="1" x="3922"/>
        <item m="1" x="1939"/>
        <item m="1" x="4111"/>
        <item m="1" x="3466"/>
        <item m="1" x="4287"/>
        <item m="1" x="4532"/>
        <item m="1" x="3579"/>
        <item m="1" x="1173"/>
        <item m="1" x="4922"/>
        <item m="1" x="3181"/>
        <item m="1" x="2239"/>
        <item m="1" x="1552"/>
        <item m="1" x="4629"/>
        <item m="1" x="2181"/>
        <item m="1" x="4191"/>
        <item m="1" x="3986"/>
        <item m="1" x="3898"/>
        <item m="1" x="2605"/>
        <item m="1" x="3101"/>
        <item m="1" x="3082"/>
        <item m="1" x="2495"/>
        <item x="388"/>
        <item m="1" x="1555"/>
        <item x="3"/>
        <item m="1" x="3635"/>
        <item m="1" x="2999"/>
        <item m="1" x="2257"/>
        <item m="1" x="3933"/>
        <item x="196"/>
        <item m="1" x="4741"/>
        <item x="276"/>
        <item m="1" x="2948"/>
        <item m="1" x="3561"/>
        <item m="1" x="3624"/>
        <item m="1" x="3824"/>
        <item m="1" x="1353"/>
        <item m="1" x="3836"/>
        <item m="1" x="2964"/>
        <item x="530"/>
        <item x="478"/>
        <item m="1" x="709"/>
        <item m="1" x="3696"/>
        <item m="1" x="4247"/>
        <item m="1" x="4410"/>
        <item m="1" x="1326"/>
        <item m="1" x="2489"/>
        <item x="253"/>
        <item m="1" x="926"/>
        <item m="1" x="1819"/>
        <item m="1" x="3001"/>
        <item m="1" x="1464"/>
        <item m="1" x="3907"/>
        <item x="186"/>
        <item m="1" x="837"/>
        <item x="326"/>
        <item m="1" x="3500"/>
        <item m="1" x="1842"/>
        <item x="160"/>
        <item m="1" x="3132"/>
        <item x="524"/>
        <item m="1" x="3914"/>
        <item m="1" x="1724"/>
        <item m="1" x="1978"/>
        <item m="1" x="4639"/>
        <item m="1" x="2751"/>
        <item m="1" x="1832"/>
        <item m="1" x="2755"/>
        <item x="419"/>
        <item m="1" x="745"/>
        <item x="134"/>
        <item x="578"/>
        <item m="1" x="1602"/>
        <item m="1" x="3662"/>
        <item m="1" x="3188"/>
        <item m="1" x="4543"/>
        <item x="161"/>
        <item x="19"/>
        <item m="1" x="3944"/>
        <item m="1" x="1615"/>
        <item m="1" x="824"/>
        <item m="1" x="4859"/>
        <item m="1" x="4580"/>
        <item m="1" x="1090"/>
        <item m="1" x="1259"/>
        <item m="1" x="2941"/>
        <item x="455"/>
        <item m="1" x="823"/>
        <item m="1" x="2637"/>
        <item m="1" x="3479"/>
        <item m="1" x="638"/>
        <item m="1" x="1653"/>
        <item m="1" x="2530"/>
        <item m="1" x="4489"/>
        <item x="92"/>
        <item m="1" x="1404"/>
        <item m="1" x="4136"/>
        <item m="1" x="1600"/>
        <item x="432"/>
        <item m="1" x="4057"/>
        <item m="1" x="2995"/>
        <item m="1" x="1778"/>
        <item m="1" x="3360"/>
        <item m="1" x="2870"/>
        <item m="1" x="3221"/>
        <item m="1" x="4789"/>
        <item m="1" x="3905"/>
        <item m="1" x="4854"/>
        <item m="1" x="1220"/>
        <item m="1" x="3691"/>
        <item m="1" x="4009"/>
        <item m="1" x="1814"/>
        <item m="1" x="743"/>
        <item m="1" x="2866"/>
        <item m="1" x="2361"/>
        <item x="541"/>
        <item m="1" x="907"/>
        <item m="1" x="2527"/>
        <item m="1" x="3546"/>
        <item m="1" x="4430"/>
        <item m="1" x="4836"/>
        <item m="1" x="3991"/>
        <item m="1" x="1391"/>
        <item m="1" x="3351"/>
        <item m="1" x="2526"/>
        <item m="1" x="1642"/>
        <item m="1" x="857"/>
        <item m="1" x="779"/>
        <item m="1" x="2717"/>
        <item m="1" x="1734"/>
        <item m="1" x="750"/>
        <item m="1" x="4675"/>
        <item m="1" x="4352"/>
        <item m="1" x="1841"/>
        <item m="1" x="4513"/>
        <item m="1" x="4677"/>
        <item m="1" x="4122"/>
        <item m="1" x="4394"/>
        <item m="1" x="4466"/>
        <item m="1" x="4628"/>
        <item m="1" x="2820"/>
        <item m="1" x="2435"/>
        <item m="1" x="4822"/>
        <item m="1" x="791"/>
        <item x="503"/>
        <item m="1" x="1003"/>
        <item m="1" x="1849"/>
        <item m="1" x="2667"/>
        <item m="1" x="4744"/>
        <item m="1" x="3983"/>
        <item m="1" x="4219"/>
        <item m="1" x="4218"/>
        <item x="165"/>
        <item m="1" x="4927"/>
        <item m="1" x="1063"/>
        <item m="1" x="3238"/>
        <item m="1" x="4926"/>
        <item m="1" x="2284"/>
        <item m="1" x="4444"/>
        <item m="1" x="2675"/>
        <item m="1" x="744"/>
        <item m="1" x="4767"/>
        <item m="1" x="4290"/>
        <item m="1" x="4964"/>
        <item m="1" x="1308"/>
        <item m="1" x="2331"/>
        <item m="1" x="1327"/>
        <item m="1" x="2579"/>
        <item m="1" x="1209"/>
        <item m="1" x="1673"/>
        <item m="1" x="1472"/>
        <item m="1" x="2313"/>
        <item m="1" x="3550"/>
        <item m="1" x="1303"/>
        <item x="592"/>
        <item m="1" x="1487"/>
        <item m="1" x="1471"/>
        <item m="1" x="4275"/>
        <item x="586"/>
        <item m="1" x="2561"/>
        <item m="1" x="1147"/>
        <item m="1" x="3359"/>
        <item m="1" x="4026"/>
        <item m="1" x="2963"/>
        <item m="1" x="2412"/>
        <item m="1" x="3060"/>
        <item m="1" x="3405"/>
        <item m="1" x="3497"/>
        <item m="1" x="3615"/>
        <item m="1" x="2281"/>
        <item m="1" x="2236"/>
        <item m="1" x="3901"/>
        <item m="1" x="3966"/>
        <item m="1" x="4966"/>
        <item m="1" x="4216"/>
        <item m="1" x="2959"/>
        <item m="1" x="1194"/>
        <item m="1" x="2072"/>
        <item m="1" x="2040"/>
        <item m="1" x="3571"/>
        <item m="1" x="4627"/>
        <item m="1" x="4683"/>
        <item m="1" x="2238"/>
        <item m="1" x="3139"/>
        <item m="1" x="1723"/>
        <item m="1" x="4414"/>
        <item m="1" x="3812"/>
        <item m="1" x="1963"/>
        <item m="1" x="3639"/>
        <item x="308"/>
        <item m="1" x="3715"/>
        <item m="1" x="4192"/>
        <item m="1" x="1393"/>
        <item m="1" x="2777"/>
        <item m="1" x="4296"/>
        <item m="1" x="2266"/>
        <item m="1" x="3402"/>
        <item m="1" x="4331"/>
        <item m="1" x="1706"/>
        <item m="1" x="1493"/>
        <item m="1" x="1933"/>
        <item m="1" x="2939"/>
        <item m="1" x="3088"/>
        <item m="1" x="3092"/>
        <item m="1" x="4200"/>
        <item m="1" x="1667"/>
        <item m="1" x="2214"/>
        <item m="1" x="4072"/>
        <item m="1" x="2149"/>
        <item m="1" x="2370"/>
        <item m="1" x="3610"/>
        <item m="1" x="3426"/>
        <item m="1" x="2065"/>
        <item m="1" x="2456"/>
        <item m="1" x="4289"/>
        <item m="1" x="1932"/>
        <item m="1" x="2598"/>
        <item x="43"/>
        <item m="1" x="3763"/>
        <item m="1" x="4795"/>
        <item m="1" x="833"/>
        <item m="1" x="4076"/>
        <item m="1" x="4873"/>
        <item m="1" x="3885"/>
        <item m="1" x="4530"/>
        <item m="1" x="4293"/>
        <item x="103"/>
        <item x="354"/>
        <item m="1" x="1296"/>
        <item m="1" x="4239"/>
        <item m="1" x="4599"/>
        <item m="1" x="1559"/>
        <item m="1" x="3167"/>
        <item m="1" x="4598"/>
        <item m="1" x="1694"/>
        <item m="1" x="3391"/>
        <item m="1" x="4165"/>
        <item m="1" x="949"/>
        <item m="1" x="3136"/>
        <item m="1" x="4965"/>
        <item m="1" x="4656"/>
        <item m="1" x="3943"/>
        <item m="1" x="4588"/>
        <item m="1" x="4127"/>
        <item m="1" x="1289"/>
        <item m="1" x="3216"/>
        <item x="263"/>
        <item m="1" x="4148"/>
        <item m="1" x="2763"/>
        <item m="1" x="612"/>
        <item m="1" x="4427"/>
        <item m="1" x="4112"/>
        <item m="1" x="3283"/>
        <item m="1" x="4514"/>
        <item m="1" x="4934"/>
        <item m="1" x="3256"/>
        <item m="1" x="3331"/>
        <item m="1" x="2359"/>
        <item m="1" x="4022"/>
        <item m="1" x="1325"/>
        <item m="1" x="2253"/>
        <item m="1" x="4713"/>
        <item m="1" x="1860"/>
        <item m="1" x="4720"/>
        <item m="1" x="3143"/>
        <item m="1" x="768"/>
        <item m="1" x="4460"/>
        <item m="1" x="3794"/>
        <item m="1" x="4255"/>
        <item m="1" x="1696"/>
        <item x="412"/>
        <item m="1" x="2564"/>
        <item m="1" x="832"/>
        <item m="1" x="4338"/>
        <item m="1" x="2340"/>
        <item m="1" x="2713"/>
        <item m="1" x="3923"/>
        <item m="1" x="2852"/>
        <item m="1" x="4334"/>
        <item m="1" x="4409"/>
        <item m="1" x="1605"/>
        <item m="1" x="679"/>
        <item m="1" x="2716"/>
        <item m="1" x="2150"/>
        <item m="1" x="4117"/>
        <item x="109"/>
        <item m="1" x="3748"/>
        <item m="1" x="3560"/>
        <item m="1" x="4552"/>
        <item m="1" x="3130"/>
        <item m="1" x="4094"/>
        <item m="1" x="1900"/>
        <item m="1" x="3840"/>
        <item m="1" x="1023"/>
        <item m="1" x="4156"/>
        <item m="1" x="1918"/>
        <item m="1" x="3962"/>
        <item m="1" x="635"/>
        <item m="1" x="3453"/>
        <item m="1" x="1178"/>
        <item m="1" x="2180"/>
        <item m="1" x="4633"/>
        <item m="1" x="4379"/>
        <item m="1" x="4035"/>
        <item m="1" x="1834"/>
        <item m="1" x="3776"/>
        <item m="1" x="1607"/>
        <item m="1" x="1693"/>
        <item m="1" x="2494"/>
        <item m="1" x="800"/>
        <item m="1" x="607"/>
        <item m="1" x="4493"/>
        <item x="430"/>
        <item m="1" x="4799"/>
        <item x="270"/>
        <item m="1" x="2990"/>
        <item m="1" x="4659"/>
        <item m="1" x="2024"/>
        <item m="1" x="1855"/>
        <item m="1" x="3423"/>
        <item m="1" x="3783"/>
        <item m="1" x="3782"/>
        <item m="1" x="4006"/>
        <item m="1" x="2762"/>
        <item m="1" x="4411"/>
        <item x="335"/>
        <item x="217"/>
        <item m="1" x="3394"/>
        <item m="1" x="4614"/>
        <item m="1" x="3909"/>
        <item m="1" x="1430"/>
        <item m="1" x="1481"/>
        <item m="1" x="1618"/>
        <item m="1" x="1190"/>
        <item m="1" x="1377"/>
        <item m="1" x="4077"/>
        <item m="1" x="1385"/>
        <item m="1" x="1151"/>
        <item m="1" x="795"/>
        <item m="1" x="2469"/>
        <item m="1" x="3608"/>
        <item m="1" x="2105"/>
        <item m="1" x="677"/>
        <item m="1" x="1076"/>
        <item m="1" x="2635"/>
        <item m="1" x="3304"/>
        <item m="1" x="3277"/>
        <item m="1" x="4419"/>
        <item m="1" x="2076"/>
        <item m="1" x="3809"/>
        <item m="1" x="4895"/>
        <item m="1" x="3936"/>
        <item m="1" x="4691"/>
        <item m="1" x="4371"/>
        <item m="1" x="4736"/>
        <item m="1" x="4000"/>
        <item m="1" x="3414"/>
        <item m="1" x="1757"/>
        <item x="261"/>
        <item m="1" x="4428"/>
        <item m="1" x="4270"/>
        <item m="1" x="4373"/>
        <item m="1" x="4974"/>
        <item m="1" x="2125"/>
        <item m="1" x="3113"/>
        <item m="1" x="3957"/>
        <item m="1" x="4750"/>
        <item m="1" x="4197"/>
        <item m="1" x="3457"/>
        <item m="1" x="4468"/>
        <item m="1" x="4407"/>
        <item m="1" x="2864"/>
        <item m="1" x="3363"/>
        <item m="1" x="1103"/>
        <item x="244"/>
        <item m="1" x="765"/>
        <item m="1" x="4550"/>
        <item m="1" x="3870"/>
        <item m="1" x="1506"/>
        <item m="1" x="671"/>
        <item m="1" x="4932"/>
        <item x="535"/>
        <item m="1" x="1208"/>
        <item m="1" x="3266"/>
        <item m="1" x="4081"/>
        <item m="1" x="3530"/>
        <item m="1" x="698"/>
        <item m="1" x="805"/>
        <item m="1" x="1248"/>
        <item m="1" x="2818"/>
        <item m="1" x="1779"/>
        <item m="1" x="1856"/>
        <item x="147"/>
        <item x="344"/>
        <item x="537"/>
        <item m="1" x="2624"/>
        <item m="1" x="3257"/>
        <item m="1" x="2070"/>
        <item m="1" x="3435"/>
        <item m="1" x="3458"/>
        <item m="1" x="2665"/>
        <item m="1" x="2563"/>
        <item m="1" x="4766"/>
        <item m="1" x="851"/>
        <item m="1" x="825"/>
        <item m="1" x="2790"/>
        <item m="1" x="4785"/>
        <item m="1" x="3658"/>
        <item m="1" x="844"/>
        <item m="1" x="3538"/>
        <item m="1" x="2895"/>
        <item m="1" x="1344"/>
        <item m="1" x="1454"/>
        <item m="1" x="697"/>
        <item m="1" x="4024"/>
        <item m="1" x="2304"/>
        <item m="1" x="2807"/>
        <item m="1" x="4888"/>
        <item m="1" x="4555"/>
        <item m="1" x="740"/>
        <item m="1" x="1997"/>
        <item m="1" x="860"/>
        <item m="1" x="3287"/>
        <item m="1" x="1301"/>
        <item m="1" x="3583"/>
        <item m="1" x="2385"/>
        <item m="1" x="4016"/>
        <item x="37"/>
        <item m="1" x="3433"/>
        <item m="1" x="4231"/>
        <item m="1" x="4196"/>
        <item m="1" x="2712"/>
        <item m="1" x="2871"/>
        <item m="1" x="999"/>
        <item x="44"/>
        <item m="1" x="1426"/>
        <item m="1" x="1227"/>
        <item m="1" x="3460"/>
        <item m="1" x="3295"/>
        <item m="1" x="915"/>
        <item m="1" x="1603"/>
        <item m="1" x="2168"/>
        <item m="1" x="3951"/>
        <item m="1" x="4986"/>
        <item m="1" x="4451"/>
        <item m="1" x="2925"/>
        <item m="1" x="4449"/>
        <item m="1" x="2210"/>
        <item m="1" x="1839"/>
        <item m="1" x="3045"/>
        <item m="1" x="4892"/>
        <item m="1" x="862"/>
        <item m="1" x="3265"/>
        <item m="1" x="1959"/>
        <item m="1" x="4357"/>
        <item m="1" x="2171"/>
        <item m="1" x="2008"/>
        <item m="1" x="4594"/>
        <item m="1" x="3817"/>
        <item m="1" x="4502"/>
        <item m="1" x="3048"/>
        <item m="1" x="1916"/>
        <item m="1" x="1048"/>
        <item m="1" x="4869"/>
        <item m="1" x="2164"/>
        <item m="1" x="1191"/>
        <item m="1" x="4173"/>
        <item m="1" x="2844"/>
        <item m="1" x="1576"/>
        <item m="1" x="3403"/>
        <item m="1" x="3567"/>
        <item m="1" x="2420"/>
        <item x="288"/>
        <item x="262"/>
        <item m="1" x="3315"/>
        <item m="1" x="1594"/>
        <item m="1" x="2975"/>
        <item m="1" x="2082"/>
        <item m="1" x="3223"/>
        <item x="369"/>
        <item m="1" x="1836"/>
        <item x="601"/>
        <item x="581"/>
        <item m="1" x="1648"/>
        <item m="1" x="2808"/>
        <item m="1" x="1544"/>
        <item m="1" x="906"/>
        <item m="1" x="798"/>
        <item m="1" x="1887"/>
        <item m="1" x="4297"/>
        <item m="1" x="2302"/>
        <item m="1" x="2547"/>
        <item m="1" x="807"/>
        <item m="1" x="3541"/>
        <item m="1" x="2509"/>
        <item m="1" x="4624"/>
        <item m="1" x="1498"/>
        <item m="1" x="3520"/>
        <item m="1" x="2354"/>
        <item m="1" x="2106"/>
        <item m="1" x="892"/>
        <item m="1" x="4423"/>
        <item m="1" x="4885"/>
        <item m="1" x="975"/>
        <item m="1" x="883"/>
        <item m="1" x="4746"/>
        <item m="1" x="3477"/>
        <item x="504"/>
        <item x="543"/>
        <item m="1" x="2674"/>
        <item m="1" x="4107"/>
        <item x="315"/>
        <item m="1" x="2451"/>
        <item m="1" x="3821"/>
        <item m="1" x="1789"/>
        <item m="1" x="3070"/>
        <item x="149"/>
        <item x="36"/>
        <item x="552"/>
        <item m="1" x="4776"/>
        <item m="1" x="1759"/>
        <item m="1" x="2127"/>
        <item m="1" x="3611"/>
        <item m="1" x="4507"/>
        <item m="1" x="1375"/>
        <item m="1" x="1944"/>
        <item m="1" x="3982"/>
        <item m="1" x="2556"/>
        <item m="1" x="3886"/>
        <item m="1" x="2252"/>
        <item m="1" x="3431"/>
        <item m="1" x="1712"/>
        <item m="1" x="2662"/>
        <item x="87"/>
        <item m="1" x="3692"/>
        <item m="1" x="3609"/>
        <item x="309"/>
        <item m="1" x="2228"/>
        <item m="1" x="4424"/>
        <item x="405"/>
        <item m="1" x="4415"/>
        <item m="1" x="4681"/>
        <item m="1" x="2220"/>
        <item m="1" x="810"/>
        <item x="556"/>
        <item m="1" x="1054"/>
        <item m="1" x="1745"/>
        <item m="1" x="1596"/>
        <item m="1" x="3554"/>
        <item m="1" x="2700"/>
        <item m="1" x="3723"/>
        <item m="1" x="3249"/>
        <item m="1" x="1379"/>
        <item x="70"/>
        <item m="1" x="3297"/>
        <item m="1" x="1670"/>
        <item m="1" x="2779"/>
        <item m="1" x="853"/>
        <item m="1" x="1041"/>
        <item m="1" x="2905"/>
        <item m="1" x="673"/>
        <item m="1" x="619"/>
        <item m="1" x="2507"/>
        <item x="584"/>
        <item m="1" x="4920"/>
        <item m="1" x="4931"/>
        <item m="1" x="1868"/>
        <item x="357"/>
        <item m="1" x="1264"/>
        <item m="1" x="819"/>
        <item m="1" x="2757"/>
        <item m="1" x="2986"/>
        <item m="1" x="2467"/>
        <item m="1" x="2068"/>
        <item m="1" x="2071"/>
        <item m="1" x="3596"/>
        <item x="125"/>
        <item x="300"/>
        <item m="1" x="3040"/>
        <item m="1" x="4204"/>
        <item m="1" x="4084"/>
        <item m="1" x="4820"/>
        <item m="1" x="1833"/>
        <item m="1" x="1499"/>
        <item m="1" x="660"/>
        <item m="1" x="2333"/>
        <item m="1" x="937"/>
        <item m="1" x="1113"/>
        <item m="1" x="2051"/>
        <item m="1" x="2320"/>
        <item m="1" x="1979"/>
        <item m="1" x="2517"/>
        <item x="566"/>
        <item m="1" x="3190"/>
        <item m="1" x="2698"/>
        <item x="275"/>
        <item m="1" x="3627"/>
        <item m="1" x="2831"/>
        <item m="1" x="3801"/>
        <item m="1" x="2496"/>
        <item m="1" x="1224"/>
        <item m="1" x="4227"/>
        <item m="1" x="1586"/>
        <item m="1" x="4658"/>
        <item m="1" x="4982"/>
        <item m="1" x="3043"/>
        <item m="1" x="1743"/>
        <item m="1" x="2350"/>
        <item m="1" x="1964"/>
        <item m="1" x="3465"/>
        <item m="1" x="3193"/>
        <item m="1" x="2148"/>
        <item m="1" x="1795"/>
        <item x="104"/>
        <item m="1" x="4380"/>
        <item m="1" x="4250"/>
        <item m="1" x="4471"/>
        <item m="1" x="2725"/>
        <item x="247"/>
        <item x="579"/>
        <item m="1" x="2177"/>
        <item m="1" x="3872"/>
        <item m="1" x="934"/>
        <item m="1" x="1716"/>
        <item m="1" x="3988"/>
        <item m="1" x="4209"/>
        <item m="1" x="1598"/>
        <item x="333"/>
        <item x="265"/>
        <item m="1" x="868"/>
        <item m="1" x="3229"/>
        <item m="1" x="3845"/>
        <item m="1" x="3917"/>
        <item m="1" x="1741"/>
        <item x="90"/>
        <item m="1" x="4004"/>
        <item m="1" x="1861"/>
        <item m="1" x="2505"/>
        <item m="1" x="1612"/>
        <item m="1" x="3325"/>
        <item m="1" x="1512"/>
        <item m="1" x="953"/>
        <item m="1" x="1205"/>
        <item m="1" x="1507"/>
        <item m="1" x="3203"/>
        <item m="1" x="3661"/>
        <item m="1" x="3784"/>
        <item m="1" x="4884"/>
        <item m="1" x="4166"/>
        <item m="1" x="4981"/>
        <item m="1" x="2246"/>
        <item m="1" x="658"/>
        <item m="1" x="2681"/>
        <item m="1" x="3699"/>
        <item m="1" x="3667"/>
        <item x="384"/>
        <item m="1" x="3153"/>
        <item m="1" x="2241"/>
        <item m="1" x="714"/>
        <item m="1" x="721"/>
        <item m="1" x="1518"/>
        <item m="1" x="3232"/>
        <item x="235"/>
        <item m="1" x="4440"/>
        <item m="1" x="1376"/>
        <item m="1" x="1569"/>
        <item m="1" x="747"/>
        <item m="1" x="4818"/>
        <item m="1" x="2883"/>
        <item x="453"/>
        <item m="1" x="3811"/>
        <item m="1" x="1305"/>
        <item m="1" x="3878"/>
        <item m="1" x="1155"/>
        <item x="406"/>
        <item m="1" x="3510"/>
        <item m="1" x="2307"/>
        <item m="1" x="1884"/>
        <item m="1" x="2849"/>
        <item m="1" x="1263"/>
        <item m="1" x="817"/>
        <item m="1" x="2032"/>
        <item m="1" x="2423"/>
        <item x="222"/>
        <item m="1" x="1762"/>
        <item x="554"/>
        <item m="1" x="1840"/>
        <item m="1" x="1977"/>
        <item m="1" x="711"/>
        <item m="1" x="1435"/>
        <item m="1" x="2129"/>
        <item m="1" x="613"/>
        <item m="1" x="2165"/>
        <item x="41"/>
        <item m="1" x="1606"/>
        <item m="1" x="2629"/>
        <item m="1" x="1541"/>
        <item m="1" x="4830"/>
        <item m="1" x="2442"/>
        <item x="542"/>
        <item m="1" x="3513"/>
        <item m="1" x="1461"/>
        <item m="1" x="4511"/>
        <item m="1" x="3584"/>
        <item m="1" x="1771"/>
        <item m="1" x="997"/>
        <item m="1" x="1035"/>
        <item m="1" x="3362"/>
        <item m="1" x="4900"/>
        <item m="1" x="911"/>
        <item m="1" x="2192"/>
        <item m="1" x="4814"/>
        <item m="1" x="1098"/>
        <item m="1" x="1032"/>
        <item m="1" x="4593"/>
        <item x="1"/>
        <item m="1" x="843"/>
        <item m="1" x="4425"/>
        <item m="1" x="4217"/>
        <item m="1" x="1105"/>
        <item x="0"/>
        <item m="1" x="3280"/>
        <item m="1" x="4262"/>
        <item m="1" x="941"/>
        <item m="1" x="4894"/>
        <item m="1" x="1746"/>
        <item x="141"/>
        <item m="1" x="2798"/>
        <item m="1" x="4959"/>
        <item m="1" x="731"/>
        <item x="580"/>
        <item m="1" x="4095"/>
        <item m="1" x="2559"/>
        <item m="1" x="1604"/>
        <item m="1" x="3361"/>
        <item m="1" x="2826"/>
        <item m="1" x="4014"/>
        <item m="1" x="723"/>
        <item x="477"/>
        <item m="1" x="2919"/>
        <item m="1" x="1981"/>
        <item m="1" x="1089"/>
        <item m="1" x="1122"/>
        <item m="1" x="699"/>
        <item m="1" x="3488"/>
        <item m="1" x="2506"/>
        <item m="1" x="759"/>
        <item m="1" x="1822"/>
        <item m="1" x="3707"/>
        <item m="1" x="3336"/>
        <item m="1" x="2332"/>
        <item m="1" x="4403"/>
        <item m="1" x="2454"/>
        <item m="1" x="3376"/>
        <item m="1" x="2923"/>
        <item m="1" x="4161"/>
        <item m="1" x="3353"/>
        <item m="1" x="1433"/>
        <item m="1" x="1613"/>
        <item m="1" x="3300"/>
        <item m="1" x="799"/>
        <item m="1" x="4848"/>
        <item m="1" x="965"/>
        <item m="1" x="4601"/>
        <item m="1" x="4559"/>
        <item m="1" x="3395"/>
        <item m="1" x="3182"/>
        <item m="1" x="2670"/>
        <item m="1" x="2922"/>
        <item x="570"/>
        <item m="1" x="3612"/>
        <item m="1" x="3842"/>
        <item m="1" x="854"/>
        <item m="1" x="1490"/>
        <item m="1" x="2594"/>
        <item m="1" x="4384"/>
        <item m="1" x="1402"/>
        <item m="1" x="4542"/>
        <item x="491"/>
        <item m="1" x="2875"/>
        <item m="1" x="4032"/>
        <item m="1" x="1650"/>
        <item m="1" x="1521"/>
        <item m="1" x="2163"/>
        <item x="232"/>
        <item m="1" x="1707"/>
        <item m="1" x="923"/>
        <item m="1" x="1513"/>
        <item x="285"/>
        <item m="1" x="2078"/>
        <item m="1" x="1311"/>
        <item m="1" x="617"/>
        <item m="1" x="830"/>
        <item m="1" x="1216"/>
        <item m="1" x="4679"/>
        <item m="1" x="4376"/>
        <item m="1" x="4843"/>
        <item m="1" x="3449"/>
        <item m="1" x="1595"/>
        <item x="26"/>
        <item x="472"/>
        <item x="179"/>
        <item m="1" x="2715"/>
        <item m="1" x="1252"/>
        <item m="1" x="3557"/>
        <item m="1" x="3515"/>
        <item m="1" x="3007"/>
        <item x="373"/>
        <item m="1" x="2878"/>
        <item m="1" x="4251"/>
        <item m="1" x="2114"/>
        <item m="1" x="4405"/>
        <item m="1" x="3790"/>
        <item m="1" x="4121"/>
        <item m="1" x="3642"/>
        <item m="1" x="3896"/>
        <item m="1" x="3841"/>
        <item m="1" x="1180"/>
        <item m="1" x="885"/>
        <item m="1" x="1750"/>
        <item m="1" x="3527"/>
        <item m="1" x="1050"/>
        <item m="1" x="3271"/>
        <item m="1" x="4545"/>
        <item m="1" x="2921"/>
        <item m="1" x="4970"/>
        <item m="1" x="1808"/>
        <item m="1" x="4788"/>
        <item m="1" x="803"/>
        <item x="602"/>
        <item m="1" x="1906"/>
        <item m="1" x="3447"/>
        <item m="1" x="1228"/>
        <item m="1" x="4348"/>
        <item m="1" x="3603"/>
        <item m="1" x="932"/>
        <item m="1" x="2741"/>
        <item x="67"/>
        <item m="1" x="1924"/>
        <item x="95"/>
        <item x="145"/>
        <item m="1" x="3633"/>
        <item m="1" x="1204"/>
        <item m="1" x="2955"/>
        <item m="1" x="1006"/>
        <item m="1" x="3017"/>
        <item m="1" x="2759"/>
        <item m="1" x="4294"/>
        <item m="1" x="4385"/>
        <item x="216"/>
        <item m="1" x="2388"/>
        <item m="1" x="3735"/>
        <item m="1" x="3123"/>
        <item m="1" x="2568"/>
        <item m="1" x="3683"/>
        <item m="1" x="1408"/>
        <item m="1" x="1014"/>
        <item m="1" x="896"/>
        <item m="1" x="2054"/>
        <item m="1" x="995"/>
        <item m="1" x="1159"/>
        <item x="40"/>
        <item m="1" x="1491"/>
        <item m="1" x="4488"/>
        <item m="1" x="1681"/>
        <item x="219"/>
        <item m="1" x="4579"/>
        <item x="267"/>
        <item x="445"/>
        <item m="1" x="3069"/>
        <item m="1" x="1888"/>
        <item m="1" x="3067"/>
        <item m="1" x="1812"/>
        <item m="1" x="867"/>
        <item m="1" x="2110"/>
        <item m="1" x="1185"/>
        <item m="1" x="3356"/>
        <item m="1" x="4865"/>
        <item m="1" x="3430"/>
        <item m="1" x="1254"/>
        <item m="1" x="4023"/>
        <item m="1" x="4693"/>
        <item m="1" x="2516"/>
        <item m="1" x="4607"/>
        <item m="1" x="1647"/>
        <item m="1" x="4103"/>
        <item m="1" x="1474"/>
        <item m="1" x="2696"/>
        <item m="1" x="1152"/>
        <item m="1" x="3616"/>
        <item m="1" x="4025"/>
        <item m="1" x="4699"/>
        <item m="1" x="3588"/>
        <item m="1" x="4268"/>
        <item m="1" x="1852"/>
        <item m="1" x="2542"/>
        <item m="1" x="4432"/>
        <item m="1" x="2894"/>
        <item m="1" x="741"/>
        <item m="1" x="2940"/>
        <item m="1" x="925"/>
        <item m="1" x="4300"/>
        <item m="1" x="3753"/>
        <item m="1" x="4400"/>
        <item m="1" x="4310"/>
        <item m="1" x="4442"/>
        <item m="1" x="4949"/>
        <item x="133"/>
        <item m="1" x="3074"/>
        <item m="1" x="2804"/>
        <item m="1" x="4012"/>
        <item m="1" x="689"/>
        <item m="1" x="3768"/>
        <item m="1" x="4864"/>
        <item m="1" x="958"/>
        <item m="1" x="2141"/>
        <item m="1" x="3731"/>
        <item x="494"/>
        <item m="1" x="4344"/>
        <item m="1" x="620"/>
        <item m="1" x="4167"/>
        <item m="1" x="2263"/>
        <item m="1" x="1195"/>
        <item m="1" x="719"/>
        <item m="1" x="2933"/>
        <item m="1" x="927"/>
        <item m="1" x="4324"/>
        <item m="1" x="4577"/>
        <item m="1" x="882"/>
        <item m="1" x="2047"/>
        <item m="1" x="2291"/>
        <item m="1" x="2169"/>
        <item m="1" x="1657"/>
        <item m="1" x="1523"/>
        <item m="1" x="2558"/>
        <item x="157"/>
        <item m="1" x="2944"/>
        <item m="1" x="1550"/>
        <item m="1" x="623"/>
        <item m="1" x="1794"/>
        <item m="1" x="3373"/>
        <item m="1" x="2876"/>
        <item x="436"/>
        <item m="1" x="4840"/>
        <item x="127"/>
        <item m="1" x="1765"/>
        <item m="1" x="2396"/>
        <item m="1" x="4972"/>
        <item m="1" x="3725"/>
        <item m="1" x="4509"/>
        <item m="1" x="3212"/>
        <item x="274"/>
        <item m="1" x="1585"/>
        <item m="1" x="748"/>
        <item m="1" x="2953"/>
        <item m="1" x="3371"/>
        <item m="1" x="3291"/>
        <item m="1" x="3672"/>
        <item m="1" x="3720"/>
        <item m="1" x="4475"/>
        <item m="1" x="3937"/>
        <item m="1" x="2946"/>
        <item m="1" x="3649"/>
        <item m="1" x="2468"/>
        <item m="1" x="3977"/>
        <item m="1" x="4882"/>
        <item m="1" x="3438"/>
        <item m="1" x="2394"/>
        <item m="1" x="1948"/>
        <item m="1" x="4144"/>
        <item m="1" x="2208"/>
        <item m="1" x="3706"/>
        <item m="1" x="2413"/>
        <item m="1" x="3566"/>
        <item m="1" x="3863"/>
        <item m="1" x="606"/>
        <item m="1" x="2395"/>
        <item m="1" x="2962"/>
        <item m="1" x="3773"/>
        <item m="1" x="3564"/>
        <item m="1" x="3429"/>
        <item m="1" x="2384"/>
        <item m="1" x="2961"/>
        <item m="1" x="2973"/>
        <item m="1" x="913"/>
        <item m="1" x="1074"/>
        <item m="1" x="2907"/>
        <item m="1" x="1010"/>
        <item x="239"/>
        <item m="1" x="1923"/>
        <item m="1" x="3126"/>
        <item x="208"/>
        <item m="1" x="2160"/>
        <item m="1" x="1475"/>
        <item m="1" x="4097"/>
        <item m="1" x="1739"/>
        <item m="1" x="1109"/>
        <item m="1" x="1110"/>
        <item m="1" x="2634"/>
        <item x="209"/>
        <item m="1" x="4755"/>
        <item x="558"/>
        <item m="1" x="4757"/>
        <item m="1" x="4592"/>
        <item m="1" x="725"/>
        <item m="1" x="3959"/>
        <item m="1" x="4190"/>
        <item m="1" x="685"/>
        <item m="1" x="2285"/>
        <item m="1" x="683"/>
        <item m="1" x="3184"/>
        <item m="1" x="1058"/>
        <item m="1" x="2689"/>
        <item m="1" x="3454"/>
        <item x="571"/>
        <item m="1" x="2654"/>
        <item m="1" x="2455"/>
        <item x="547"/>
        <item m="1" x="4074"/>
        <item m="1" x="2046"/>
        <item m="1" x="3298"/>
        <item m="1" x="3443"/>
        <item m="1" x="3522"/>
        <item m="1" x="2538"/>
        <item m="1" x="1269"/>
        <item m="1" x="950"/>
        <item m="1" x="1882"/>
        <item m="1" x="2708"/>
        <item m="1" x="2861"/>
        <item x="353"/>
        <item m="1" x="4119"/>
        <item m="1" x="1753"/>
        <item m="1" x="2589"/>
        <item m="1" x="3112"/>
        <item m="1" x="4815"/>
        <item m="1" x="1624"/>
        <item m="1" x="2409"/>
        <item m="1" x="1968"/>
        <item m="1" x="2795"/>
        <item m="1" x="3375"/>
        <item m="1" x="4467"/>
        <item m="1" x="4049"/>
        <item m="1" x="2001"/>
        <item m="1" x="2349"/>
        <item x="178"/>
        <item m="1" x="3680"/>
        <item m="1" x="1201"/>
        <item x="299"/>
        <item m="1" x="4369"/>
        <item m="1" x="3919"/>
        <item x="393"/>
        <item m="1" x="608"/>
        <item m="1" x="4547"/>
        <item m="1" x="2397"/>
        <item m="1" x="2604"/>
        <item m="1" x="917"/>
        <item m="1" x="3599"/>
        <item m="1" x="2374"/>
        <item m="1" x="2957"/>
        <item m="1" x="4482"/>
        <item m="1" x="2278"/>
        <item m="1" x="3008"/>
        <item x="74"/>
        <item m="1" x="2644"/>
        <item m="1" x="4307"/>
        <item m="1" x="935"/>
        <item m="1" x="3552"/>
        <item m="1" x="1644"/>
        <item m="1" x="2550"/>
        <item m="1" x="4271"/>
        <item m="1" x="1530"/>
        <item m="1" x="2970"/>
        <item m="1" x="4804"/>
        <item m="1" x="2576"/>
        <item x="448"/>
        <item m="1" x="4763"/>
        <item m="1" x="1342"/>
        <item m="1" x="985"/>
        <item m="1" x="3468"/>
        <item m="1" x="4326"/>
        <item m="1" x="1649"/>
        <item x="98"/>
        <item m="1" x="2190"/>
        <item m="1" x="655"/>
        <item m="1" x="3514"/>
        <item m="1" x="1025"/>
        <item x="422"/>
        <item m="1" x="1449"/>
        <item m="1" x="945"/>
        <item x="573"/>
        <item m="1" x="778"/>
        <item m="1" x="4304"/>
        <item m="1" x="3165"/>
        <item x="191"/>
        <item m="1" x="4651"/>
        <item m="1" x="3576"/>
        <item m="1" x="2115"/>
        <item x="81"/>
        <item m="1" x="4971"/>
        <item m="1" x="4707"/>
        <item m="1" x="3820"/>
        <item m="1" x="2823"/>
        <item m="1" x="780"/>
        <item m="1" x="3408"/>
        <item m="1" x="4174"/>
        <item m="1" x="4224"/>
        <item m="1" x="1031"/>
        <item x="329"/>
        <item x="54"/>
        <item m="1" x="1055"/>
        <item m="1" x="644"/>
        <item m="1" x="2104"/>
        <item m="1" x="4955"/>
        <item m="1" x="3374"/>
        <item m="1" x="3416"/>
        <item m="1" x="4528"/>
        <item m="1" x="3100"/>
        <item m="1" x="1503"/>
        <item x="567"/>
        <item m="1" x="761"/>
        <item m="1" x="3814"/>
        <item m="1" x="2930"/>
        <item m="1" x="2677"/>
        <item m="1" x="1930"/>
        <item m="1" x="1482"/>
        <item m="1" x="1831"/>
        <item x="395"/>
        <item m="1" x="4534"/>
        <item m="1" x="2080"/>
        <item m="1" x="4037"/>
        <item m="1" x="2458"/>
        <item m="1" x="1904"/>
        <item m="1" x="3857"/>
        <item x="296"/>
        <item m="1" x="3278"/>
        <item m="1" x="1215"/>
        <item m="1" x="3275"/>
        <item x="295"/>
        <item m="1" x="2062"/>
        <item m="1" x="2718"/>
        <item m="1" x="2196"/>
        <item m="1" x="3093"/>
        <item m="1" x="1285"/>
        <item m="1" x="2928"/>
        <item m="1" x="1465"/>
        <item m="1" x="890"/>
        <item m="1" x="1273"/>
        <item m="1" x="4850"/>
        <item m="1" x="2998"/>
        <item m="1" x="1357"/>
        <item m="1" x="967"/>
        <item m="1" x="1106"/>
        <item m="1" x="910"/>
        <item m="1" x="1310"/>
        <item m="1" x="3146"/>
        <item m="1" x="1371"/>
        <item m="1" x="2069"/>
        <item m="1" x="3676"/>
        <item m="1" x="3152"/>
        <item m="1" x="2074"/>
        <item m="1" x="1577"/>
        <item m="1" x="3044"/>
        <item m="1" x="3307"/>
        <item m="1" x="4978"/>
        <item m="1" x="1500"/>
        <item x="418"/>
        <item x="294"/>
        <item m="1" x="4259"/>
        <item m="1" x="1749"/>
        <item m="1" x="1275"/>
        <item m="1" x="1237"/>
        <item x="466"/>
        <item m="1" x="652"/>
        <item m="1" x="1986"/>
        <item m="1" x="1671"/>
        <item m="1" x="4709"/>
        <item m="1" x="2573"/>
        <item x="574"/>
        <item m="1" x="1437"/>
        <item x="89"/>
        <item x="116"/>
        <item x="332"/>
        <item m="1" x="1225"/>
        <item m="1" x="2736"/>
        <item m="1" x="2135"/>
        <item x="561"/>
        <item m="1" x="1158"/>
        <item m="1" x="3434"/>
        <item m="1" x="1683"/>
        <item m="1" x="3775"/>
        <item m="1" x="3379"/>
        <item m="1" x="1292"/>
        <item m="1" x="2794"/>
        <item m="1" x="3285"/>
        <item m="1" x="2206"/>
        <item m="1" x="3619"/>
        <item m="1" x="2909"/>
        <item m="1" x="1495"/>
        <item m="1" x="4264"/>
        <item x="343"/>
        <item m="1" x="3415"/>
        <item m="1" x="2934"/>
        <item m="1" x="4089"/>
        <item m="1" x="3267"/>
        <item m="1" x="2780"/>
        <item m="1" x="1966"/>
        <item m="1" x="2431"/>
        <item x="379"/>
        <item m="1" x="4086"/>
        <item m="1" x="2056"/>
        <item m="1" x="1243"/>
        <item m="1" x="2152"/>
        <item m="1" x="4477"/>
        <item m="1" x="4463"/>
        <item m="1" x="2569"/>
        <item m="1" x="2774"/>
        <item m="1" x="2908"/>
        <item x="391"/>
        <item m="1" x="4777"/>
        <item m="1" x="2753"/>
        <item m="1" x="1020"/>
        <item m="1" x="2118"/>
        <item m="1" x="3109"/>
        <item m="1" x="2679"/>
        <item m="1" x="972"/>
        <item m="1" x="3031"/>
        <item x="163"/>
        <item m="1" x="1246"/>
        <item m="1" x="3247"/>
        <item m="1" x="4760"/>
        <item m="1" x="3877"/>
        <item m="1" x="2703"/>
        <item x="243"/>
        <item m="1" x="3159"/>
        <item m="1" x="4722"/>
        <item m="1" x="4228"/>
        <item m="1" x="3494"/>
        <item m="1" x="3871"/>
        <item m="1" x="1956"/>
        <item m="1" x="3117"/>
        <item x="193"/>
        <item m="1" x="4013"/>
        <item m="1" x="4780"/>
        <item m="1" x="1791"/>
        <item m="1" x="3135"/>
        <item m="1" x="4863"/>
        <item m="1" x="3442"/>
        <item m="1" x="1096"/>
        <item m="1" x="2338"/>
        <item m="1" x="4942"/>
        <item m="1" x="2053"/>
        <item m="1" x="3369"/>
        <item m="1" x="987"/>
        <item m="1" x="3125"/>
        <item m="1" x="3781"/>
        <item m="1" x="4412"/>
        <item m="1" x="2398"/>
        <item m="1" x="4642"/>
        <item m="1" x="3355"/>
        <item m="1" x="762"/>
        <item x="240"/>
        <item m="1" x="2881"/>
        <item m="1" x="2303"/>
        <item m="1" x="4116"/>
        <item m="1" x="2182"/>
        <item m="1" x="3866"/>
        <item m="1" x="2523"/>
        <item m="1" x="2615"/>
        <item m="1" x="2942"/>
        <item m="1" x="645"/>
        <item m="1" x="4564"/>
        <item m="1" x="4386"/>
        <item m="1" x="2016"/>
        <item m="1" x="1316"/>
        <item m="1" x="3270"/>
        <item m="1" x="1286"/>
        <item m="1" x="1163"/>
        <item x="318"/>
        <item m="1" x="3026"/>
        <item m="1" x="4622"/>
        <item m="1" x="4064"/>
        <item m="1" x="3286"/>
        <item m="1" x="2793"/>
        <item x="278"/>
        <item m="1" x="1946"/>
        <item m="1" x="2061"/>
        <item m="1" x="3971"/>
        <item m="1" x="2984"/>
        <item m="1" x="3787"/>
        <item m="1" x="2292"/>
        <item m="1" x="661"/>
        <item m="1" x="2133"/>
        <item m="1" x="4566"/>
        <item m="1" x="2891"/>
        <item m="1" x="3529"/>
        <item m="1" x="1251"/>
        <item m="1" x="2740"/>
        <item m="1" x="1299"/>
        <item m="1" x="1877"/>
        <item m="1" x="4743"/>
        <item m="1" x="4320"/>
        <item m="1" x="726"/>
        <item m="1" x="884"/>
        <item m="1" x="1987"/>
        <item m="1" x="4267"/>
        <item m="1" x="3366"/>
        <item m="1" x="3830"/>
        <item m="1" x="4176"/>
        <item m="1" x="856"/>
        <item m="1" x="4448"/>
        <item m="1" x="1445"/>
        <item m="1" x="2607"/>
        <item x="305"/>
        <item m="1" x="986"/>
        <item m="1" x="1258"/>
        <item m="1" x="3019"/>
        <item m="1" x="3558"/>
        <item m="1" x="4586"/>
        <item m="1" x="4131"/>
        <item m="1" x="1091"/>
        <item m="1" x="1261"/>
        <item m="1" x="1853"/>
        <item m="1" x="3979"/>
        <item m="1" x="1578"/>
        <item m="1" x="2485"/>
        <item m="1" x="1767"/>
        <item m="1" x="4171"/>
        <item x="382"/>
        <item m="1" x="2557"/>
        <item m="1" x="2189"/>
        <item m="1" x="4860"/>
        <item m="1" x="1212"/>
        <item m="1" x="4312"/>
        <item m="1" x="3942"/>
        <item m="1" x="1937"/>
        <item x="365"/>
        <item m="1" x="4337"/>
        <item x="301"/>
        <item m="1" x="4765"/>
        <item m="1" x="1009"/>
        <item x="410"/>
        <item m="1" x="1837"/>
        <item x="501"/>
        <item m="1" x="4485"/>
        <item x="389"/>
        <item m="1" x="1784"/>
        <item m="1" x="841"/>
        <item m="1" x="4092"/>
        <item m="1" x="1554"/>
        <item m="1" x="2786"/>
        <item m="1" x="1655"/>
        <item m="1" x="4470"/>
        <item m="1" x="3891"/>
        <item m="1" x="4058"/>
        <item m="1" x="3673"/>
        <item m="1" x="1700"/>
        <item m="1" x="1213"/>
        <item m="1" x="4950"/>
        <item m="1" x="3669"/>
        <item m="1" x="4692"/>
        <item x="73"/>
        <item m="1" x="3156"/>
        <item m="1" x="1108"/>
        <item m="1" x="2475"/>
        <item m="1" x="4311"/>
        <item m="1" x="3570"/>
        <item x="114"/>
        <item m="1" x="1714"/>
        <item m="1" x="3740"/>
        <item m="1" x="3674"/>
        <item m="1" x="1538"/>
        <item m="1" x="4279"/>
        <item m="1" x="3224"/>
        <item m="1" x="3927"/>
        <item x="22"/>
        <item m="1" x="3319"/>
        <item m="1" x="878"/>
        <item x="585"/>
        <item m="1" x="1942"/>
        <item m="1" x="2473"/>
        <item m="1" x="3260"/>
        <item m="1" x="4538"/>
        <item m="1" x="2381"/>
        <item m="1" x="2465"/>
        <item m="1" x="3920"/>
        <item m="1" x="3519"/>
        <item m="1" x="4070"/>
        <item m="1" x="2213"/>
        <item m="1" x="3068"/>
        <item m="1" x="1686"/>
        <item m="1" x="2375"/>
        <item m="1" x="1636"/>
        <item m="1" x="1129"/>
        <item m="1" x="4802"/>
        <item m="1" x="4266"/>
        <item m="1" x="4667"/>
        <item m="1" x="4481"/>
        <item m="1" x="3946"/>
        <item m="1" x="2099"/>
        <item m="1" x="1926"/>
        <item m="1" x="1355"/>
        <item m="1" x="2400"/>
        <item m="1" x="4453"/>
        <item m="1" x="2916"/>
        <item m="1" x="4457"/>
        <item m="1" x="3980"/>
        <item x="7"/>
        <item m="1" x="1128"/>
        <item m="1" x="3964"/>
        <item x="506"/>
        <item m="1" x="3690"/>
        <item x="80"/>
        <item m="1" x="4071"/>
        <item x="546"/>
        <item m="1" x="3357"/>
        <item m="1" x="3620"/>
        <item m="1" x="687"/>
        <item m="1" x="4421"/>
        <item m="1" x="4849"/>
        <item m="1" x="2781"/>
        <item m="1" x="3204"/>
        <item m="1" x="3797"/>
        <item m="1" x="4340"/>
        <item m="1" x="4075"/>
        <item m="1" x="4397"/>
        <item m="1" x="4090"/>
        <item x="162"/>
        <item m="1" x="1368"/>
        <item m="1" x="3169"/>
        <item x="441"/>
        <item m="1" x="3072"/>
        <item m="1" x="2566"/>
        <item m="1" x="4520"/>
        <item m="1" x="4175"/>
        <item m="1" x="2427"/>
        <item x="320"/>
        <item m="1" x="4662"/>
        <item m="1" x="1277"/>
        <item m="1" x="4152"/>
        <item m="1" x="4839"/>
        <item m="1" x="4574"/>
        <item m="1" x="3420"/>
        <item x="314"/>
        <item m="1" x="1171"/>
        <item m="1" x="2626"/>
        <item m="1" x="1131"/>
        <item m="1" x="2687"/>
        <item m="1" x="4391"/>
        <item m="1" x="2344"/>
        <item m="1" x="2977"/>
        <item m="1" x="3350"/>
        <item m="1" x="2343"/>
        <item m="1" x="4833"/>
        <item m="1" x="3326"/>
        <item m="1" x="659"/>
        <item m="1" x="3816"/>
        <item m="1" x="3106"/>
        <item m="1" x="2052"/>
        <item x="107"/>
        <item m="1" x="4943"/>
        <item m="1" x="2805"/>
        <item m="1" x="2457"/>
        <item m="1" x="951"/>
        <item m="1" x="1431"/>
        <item m="1" x="4277"/>
        <item m="1" x="3904"/>
        <item m="1" x="2200"/>
        <item m="1" x="3137"/>
        <item m="1" x="3701"/>
        <item m="1" x="4389"/>
        <item m="1" x="1951"/>
        <item m="1" x="3409"/>
        <item m="1" x="2151"/>
        <item m="1" x="3365"/>
        <item m="1" x="636"/>
        <item m="1" x="3879"/>
        <item x="228"/>
        <item m="1" x="754"/>
        <item m="1" x="3655"/>
        <item m="1" x="2535"/>
        <item m="1" x="772"/>
        <item m="1" x="4817"/>
        <item m="1" x="1590"/>
        <item m="1" x="2022"/>
        <item m="1" x="793"/>
        <item m="1" x="2273"/>
        <item m="1" x="2176"/>
        <item m="1" x="3324"/>
        <item x="593"/>
        <item m="1" x="1000"/>
        <item x="321"/>
        <item m="1" x="1174"/>
        <item m="1" x="4091"/>
        <item m="1" x="3218"/>
        <item m="1" x="1390"/>
        <item x="237"/>
        <item m="1" x="3422"/>
        <item m="1" x="3950"/>
        <item m="1" x="909"/>
        <item m="1" x="3648"/>
        <item m="1" x="2301"/>
        <item m="1" x="4654"/>
        <item x="438"/>
        <item m="1" x="2796"/>
        <item m="1" x="4063"/>
        <item m="1" x="1150"/>
        <item m="1" x="2268"/>
        <item m="1" x="4957"/>
        <item m="1" x="3684"/>
        <item m="1" x="2545"/>
        <item m="1" x="1898"/>
        <item m="1" x="855"/>
        <item m="1" x="3767"/>
        <item m="1" x="2830"/>
        <item m="1" x="4378"/>
        <item x="429"/>
        <item m="1" x="3505"/>
        <item m="1" x="3292"/>
        <item m="1" x="4914"/>
        <item m="1" x="3148"/>
        <item m="1" x="4438"/>
        <item m="1" x="3147"/>
        <item m="1" x="2732"/>
        <item m="1" x="4761"/>
        <item m="1" x="4019"/>
        <item m="1" x="4784"/>
        <item m="1" x="4328"/>
        <item m="1" x="3027"/>
        <item m="1" x="4896"/>
        <item m="1" x="4183"/>
        <item m="1" x="4897"/>
        <item x="65"/>
        <item m="1" x="3975"/>
        <item m="1" x="4085"/>
        <item x="206"/>
        <item m="1" x="3063"/>
        <item x="88"/>
        <item m="1" x="1469"/>
        <item m="1" x="1570"/>
        <item m="1" x="1333"/>
        <item m="1" x="3078"/>
        <item m="1" x="2167"/>
        <item m="1" x="755"/>
        <item m="1" x="2773"/>
        <item m="1" x="616"/>
        <item m="1" x="2565"/>
        <item m="1" x="3151"/>
        <item x="111"/>
        <item m="1" x="990"/>
        <item m="1" x="2860"/>
        <item x="251"/>
        <item m="1" x="692"/>
        <item m="1" x="3058"/>
        <item m="1" x="4824"/>
        <item m="1" x="984"/>
        <item x="61"/>
        <item m="1" x="2745"/>
        <item m="1" x="605"/>
        <item x="129"/>
        <item m="1" x="2827"/>
        <item m="1" x="2079"/>
        <item m="1" x="4109"/>
        <item m="1" x="4096"/>
        <item m="1" x="2616"/>
        <item m="1" x="1477"/>
        <item m="1" x="3091"/>
        <item m="1" x="1018"/>
        <item m="1" x="936"/>
        <item m="1" x="2993"/>
        <item m="1" x="3354"/>
        <item m="1" x="3693"/>
        <item m="1" x="1663"/>
        <item x="277"/>
        <item m="1" x="3565"/>
        <item m="1" x="3895"/>
        <item m="1" x="4269"/>
        <item m="1" x="3539"/>
        <item m="1" x="2499"/>
        <item m="1" x="960"/>
        <item m="1" x="1081"/>
        <item m="1" x="866"/>
        <item x="327"/>
        <item m="1" x="3742"/>
        <item m="1" x="1017"/>
        <item m="1" x="2057"/>
        <item m="1" x="2602"/>
        <item m="1" x="922"/>
        <item x="461"/>
        <item m="1" x="3632"/>
        <item m="1" x="816"/>
        <item m="1" x="870"/>
        <item m="1" x="2439"/>
        <item m="1" x="2111"/>
        <item m="1" x="1295"/>
        <item m="1" x="4756"/>
        <item m="1" x="3651"/>
        <item m="1" x="1116"/>
        <item m="1" x="3734"/>
        <item m="1" x="3381"/>
        <item m="1" x="2251"/>
        <item m="1" x="1034"/>
        <item m="1" x="4781"/>
        <item m="1" x="3185"/>
        <item m="1" x="4941"/>
        <item m="1" x="4138"/>
        <item m="1" x="902"/>
        <item m="1" x="2025"/>
        <item m="1" x="1902"/>
        <item m="1" x="1233"/>
        <item m="1" x="2811"/>
        <item m="1" x="1442"/>
        <item x="131"/>
        <item m="1" x="4046"/>
        <item x="132"/>
        <item x="505"/>
        <item x="2"/>
        <item m="1" x="4001"/>
        <item m="1" x="1972"/>
        <item m="1" x="2103"/>
        <item m="1" x="3296"/>
        <item m="1" x="1160"/>
        <item m="1" x="3810"/>
        <item m="1" x="4813"/>
        <item m="1" x="2267"/>
        <item x="349"/>
        <item m="1" x="3594"/>
        <item m="1" x="3450"/>
        <item m="1" x="1235"/>
        <item m="1" x="848"/>
        <item m="1" x="4663"/>
        <item m="1" x="4666"/>
        <item m="1" x="603"/>
        <item m="1" x="1965"/>
        <item x="433"/>
        <item m="1" x="4339"/>
        <item m="1" x="2459"/>
        <item m="1" x="4764"/>
        <item m="1" x="2553"/>
        <item m="1" x="1780"/>
        <item m="1" x="2968"/>
        <item m="1" x="4685"/>
        <item m="1" x="908"/>
        <item m="1" x="3607"/>
        <item m="1" x="3702"/>
        <item m="1" x="2325"/>
        <item m="1" x="3854"/>
        <item m="1" x="2179"/>
        <item m="1" x="688"/>
        <item m="1" x="4169"/>
        <item m="1" x="2026"/>
        <item m="1" x="4341"/>
        <item m="1" x="2610"/>
        <item x="91"/>
        <item m="1" x="1387"/>
        <item m="1" x="4182"/>
        <item m="1" x="2575"/>
        <item m="1" x="3846"/>
        <item x="144"/>
        <item m="1" x="2035"/>
        <item m="1" x="2277"/>
        <item m="1" x="1347"/>
        <item m="1" x="4792"/>
        <item m="1" x="2513"/>
        <item m="1" x="1928"/>
        <item m="1" x="2843"/>
        <item m="1" x="700"/>
        <item x="5"/>
        <item m="1" x="4059"/>
        <item m="1" x="4377"/>
        <item m="1" x="3873"/>
        <item m="1" x="1070"/>
        <item x="174"/>
        <item m="1" x="3543"/>
        <item m="1" x="1628"/>
        <item m="1" x="2723"/>
        <item m="1" x="3111"/>
        <item m="1" x="1698"/>
        <item m="1" x="1323"/>
        <item m="1" x="1079"/>
        <item m="1" x="1635"/>
        <item m="1" x="1340"/>
        <item m="1" x="4100"/>
        <item m="1" x="2893"/>
        <item m="1" x="2837"/>
        <item m="1" x="2601"/>
        <item m="1" x="1892"/>
        <item m="1" x="2197"/>
        <item m="1" x="2389"/>
        <item m="1" x="3441"/>
        <item m="1" x="4027"/>
        <item m="1" x="3160"/>
        <item m="1" x="3533"/>
        <item m="1" x="4235"/>
        <item m="1" x="2419"/>
        <item m="1" x="3939"/>
        <item m="1" x="4595"/>
        <item m="1" x="1239"/>
        <item m="1" x="674"/>
        <item m="1" x="4137"/>
        <item x="106"/>
        <item m="1" x="2947"/>
        <item m="1" x="3938"/>
        <item m="1" x="2592"/>
        <item m="1" x="4672"/>
        <item m="1" x="627"/>
        <item m="1" x="3340"/>
        <item m="1" x="3065"/>
        <item m="1" x="3010"/>
        <item m="1" x="4335"/>
        <item m="1" x="3945"/>
        <item m="1" x="921"/>
        <item m="1" x="3243"/>
        <item m="1" x="3124"/>
        <item m="1" x="2512"/>
        <item m="1" x="1124"/>
        <item m="1" x="3227"/>
        <item m="1" x="3804"/>
        <item m="1" x="3289"/>
        <item m="1" x="3225"/>
        <item x="443"/>
        <item m="1" x="2137"/>
        <item m="1" x="2839"/>
        <item m="1" x="4754"/>
        <item m="1" x="1955"/>
        <item m="1" x="2873"/>
        <item m="1" x="1565"/>
        <item m="1" x="1934"/>
        <item m="1" x="4029"/>
        <item m="1" x="2640"/>
        <item x="224"/>
        <item m="1" x="2472"/>
        <item m="1" x="2769"/>
        <item m="1" x="3305"/>
        <item m="1" x="732"/>
        <item m="1" x="1300"/>
        <item m="1" x="1717"/>
        <item m="1" x="928"/>
        <item m="1" x="2382"/>
        <item m="1" x="4274"/>
        <item m="1" x="3053"/>
        <item x="154"/>
        <item m="1" x="2132"/>
        <item m="1" x="4017"/>
        <item m="1" x="4359"/>
        <item m="1" x="2138"/>
        <item x="249"/>
        <item x="420"/>
        <item m="1" x="3246"/>
        <item m="1" x="4688"/>
        <item m="1" x="2145"/>
        <item x="190"/>
        <item x="75"/>
        <item m="1" x="4610"/>
        <item m="1" x="4582"/>
        <item m="1" x="1060"/>
        <item x="577"/>
        <item m="1" x="4671"/>
        <item m="1" x="1001"/>
        <item m="1" x="1400"/>
        <item m="1" x="4114"/>
        <item m="1" x="2329"/>
        <item m="1" x="1920"/>
        <item m="1" x="3343"/>
        <item m="1" x="2215"/>
        <item m="1" x="784"/>
        <item m="1" x="3417"/>
        <item m="1" x="1721"/>
        <item x="588"/>
        <item m="1" x="2348"/>
        <item x="374"/>
        <item m="1" x="2802"/>
        <item m="1" x="1561"/>
        <item m="1" x="2792"/>
        <item m="1" x="4469"/>
        <item m="1" x="641"/>
        <item m="1" x="4752"/>
        <item m="1" x="3545"/>
        <item m="1" x="2652"/>
        <item m="1" x="626"/>
        <item x="400"/>
        <item m="1" x="3989"/>
        <item m="1" x="2885"/>
        <item m="1" x="1479"/>
        <item x="421"/>
        <item m="1" x="1894"/>
        <item m="1" x="1374"/>
        <item x="210"/>
        <item m="1" x="2209"/>
        <item x="480"/>
        <item m="1" x="845"/>
        <item m="1" x="996"/>
        <item x="164"/>
        <item m="1" x="1786"/>
        <item m="1" x="2685"/>
        <item m="1" x="846"/>
        <item m="1" x="2935"/>
        <item m="1" x="2330"/>
        <item m="1" x="3269"/>
        <item m="1" x="4877"/>
        <item m="1" x="826"/>
        <item m="1" x="4208"/>
        <item m="1" x="2198"/>
        <item m="1" x="4242"/>
        <item m="1" x="2336"/>
        <item m="1" x="2749"/>
        <item m="1" x="643"/>
        <item m="1" x="4518"/>
        <item x="485"/>
        <item m="1" x="943"/>
        <item m="1" x="4313"/>
        <item m="1" x="4465"/>
        <item m="1" x="1845"/>
        <item x="130"/>
        <item m="1" x="1072"/>
        <item m="1" x="1869"/>
        <item m="1" x="1463"/>
        <item m="1" x="828"/>
        <item m="1" x="1138"/>
        <item m="1" x="4135"/>
        <item m="1" x="2511"/>
        <item m="1" x="1982"/>
        <item x="256"/>
        <item m="1" x="4395"/>
        <item x="583"/>
        <item m="1" x="1276"/>
        <item x="84"/>
        <item m="1" x="3261"/>
        <item m="1" x="4105"/>
        <item m="1" x="3703"/>
        <item m="1" x="3128"/>
        <item m="1" x="893"/>
        <item m="1" x="742"/>
        <item m="1" x="4917"/>
        <item m="1" x="2142"/>
        <item m="1" x="1140"/>
        <item m="1" x="3528"/>
        <item m="1" x="2735"/>
        <item m="1" x="4406"/>
        <item m="1" x="1514"/>
        <item x="328"/>
        <item x="507"/>
        <item m="1" x="3958"/>
        <item m="1" x="792"/>
        <item m="1" x="4318"/>
        <item m="1" x="2655"/>
        <item m="1" x="1432"/>
        <item m="1" x="821"/>
        <item m="1" x="3903"/>
        <item m="1" x="1515"/>
        <item x="599"/>
        <item m="1" x="4193"/>
        <item m="1" x="4724"/>
        <item m="1" x="1879"/>
        <item m="1" x="1203"/>
        <item m="1" x="4515"/>
        <item m="1" x="4831"/>
        <item m="1" x="3437"/>
        <item m="1" x="2531"/>
        <item m="1" x="4213"/>
        <item m="1" x="2886"/>
        <item m="1" x="1470"/>
        <item m="1" x="4597"/>
        <item m="1" x="3312"/>
        <item m="1" x="2722"/>
        <item m="1" x="1804"/>
        <item m="1" x="1967"/>
        <item m="1" x="3250"/>
        <item m="1" x="1362"/>
        <item m="1" x="3456"/>
        <item m="1" x="864"/>
        <item m="1" x="3459"/>
        <item m="1" x="2297"/>
        <item m="1" x="1268"/>
        <item m="1" x="2043"/>
        <item m="1" x="3774"/>
        <item m="1" x="1584"/>
        <item m="1" x="4108"/>
        <item m="1" x="1343"/>
        <item m="1" x="1148"/>
        <item m="1" x="1637"/>
        <item m="1" x="2010"/>
        <item m="1" x="4420"/>
        <item m="1" x="1875"/>
        <item x="339"/>
        <item m="1" x="3709"/>
        <item m="1" x="3726"/>
        <item m="1" x="1744"/>
        <item m="1" x="4040"/>
        <item m="1" x="1015"/>
        <item m="1" x="2854"/>
        <item m="1" x="2642"/>
        <item m="1" x="963"/>
        <item x="316"/>
        <item m="1" x="1065"/>
        <item m="1" x="3855"/>
        <item m="1" x="2814"/>
        <item m="1" x="1575"/>
        <item m="1" x="2702"/>
        <item m="1" x="4497"/>
        <item m="1" x="2191"/>
        <item m="1" x="4188"/>
        <item m="1" x="1945"/>
        <item m="1" x="2050"/>
        <item x="303"/>
        <item m="1" x="1871"/>
        <item x="29"/>
        <item m="1" x="3192"/>
        <item m="1" x="4670"/>
        <item m="1" x="1218"/>
        <item m="1" x="4728"/>
        <item m="1" x="1958"/>
        <item m="1" x="2229"/>
        <item m="1" x="2841"/>
        <item m="1" x="2537"/>
        <item m="1" x="2518"/>
        <item m="1" x="1165"/>
        <item x="45"/>
        <item m="1" x="933"/>
        <item m="1" x="988"/>
        <item m="1" x="3252"/>
        <item m="1" x="1386"/>
        <item m="1" x="2653"/>
        <item m="1" x="2245"/>
        <item m="1" x="1597"/>
        <item m="1" x="3889"/>
        <item m="1" x="4281"/>
        <item m="1" x="808"/>
        <item m="1" x="1143"/>
        <item x="525"/>
        <item m="1" x="1093"/>
        <item m="1" x="813"/>
        <item m="1" x="2101"/>
        <item x="6"/>
        <item m="1" x="3051"/>
        <item m="1" x="802"/>
        <item m="1" x="4118"/>
        <item m="1" x="676"/>
        <item m="1" x="1854"/>
        <item m="1" x="2693"/>
        <item m="1" x="2482"/>
        <item x="439"/>
        <item m="1" x="3686"/>
        <item m="1" x="2673"/>
        <item m="1" x="2846"/>
        <item m="1" x="2623"/>
        <item x="550"/>
        <item x="522"/>
        <item m="1" x="3032"/>
        <item m="1" x="3029"/>
        <item x="254"/>
        <item m="1" x="2380"/>
        <item m="1" x="1210"/>
        <item m="1" x="4835"/>
        <item m="1" x="4480"/>
        <item m="1" x="3562"/>
        <item x="310"/>
        <item m="1" x="865"/>
        <item m="1" x="1847"/>
        <item m="1" x="4038"/>
        <item m="1" x="1118"/>
        <item m="1" x="2584"/>
        <item m="1" x="4292"/>
        <item m="1" x="4808"/>
        <item m="1" x="966"/>
        <item m="1" x="1622"/>
        <item m="1" x="2791"/>
        <item m="1" x="3777"/>
        <item m="1" x="1290"/>
        <item m="1" x="1889"/>
        <item m="1" x="4938"/>
        <item m="1" x="3171"/>
        <item x="120"/>
        <item m="1" x="4178"/>
        <item m="1" x="3385"/>
        <item m="1" x="1806"/>
        <item x="559"/>
        <item x="426"/>
        <item m="1" x="1816"/>
        <item m="1" x="3843"/>
        <item m="1" x="3235"/>
        <item m="1" x="2031"/>
        <item m="1" x="1985"/>
        <item m="1" x="1483"/>
        <item x="108"/>
        <item m="1" x="4194"/>
        <item m="1" x="1545"/>
        <item m="1" x="2692"/>
        <item m="1" x="875"/>
        <item x="352"/>
        <item m="1" x="4484"/>
        <item m="1" x="4495"/>
        <item x="597"/>
        <item m="1" x="2290"/>
        <item x="431"/>
        <item m="1" x="1372"/>
        <item m="1" x="1117"/>
        <item m="1" x="3086"/>
        <item m="1" x="3572"/>
        <item x="200"/>
        <item m="1" x="1082"/>
        <item m="1" x="2954"/>
        <item m="1" x="769"/>
        <item m="1" x="2486"/>
        <item m="1" x="1625"/>
        <item x="24"/>
        <item m="1" x="1139"/>
        <item m="1" x="4605"/>
        <item m="1" x="4560"/>
        <item m="1" x="3636"/>
        <item m="1" x="738"/>
        <item m="1" x="3231"/>
        <item m="1" x="2244"/>
        <item m="1" x="4490"/>
        <item m="1" x="3233"/>
        <item m="1" x="4910"/>
        <item m="1" x="2943"/>
        <item x="227"/>
        <item m="1" x="2641"/>
        <item m="1" x="1858"/>
        <item m="1" x="1092"/>
        <item m="1" x="1710"/>
        <item m="1" x="3241"/>
        <item m="1" x="3076"/>
        <item m="1" x="1460"/>
        <item m="1" x="1520"/>
        <item m="1" x="1077"/>
        <item m="1" x="3921"/>
        <item m="1" x="2170"/>
        <item m="1" x="3802"/>
        <item m="1" x="4240"/>
        <item x="112"/>
        <item m="1" x="2060"/>
        <item m="1" x="3844"/>
        <item m="1" x="2144"/>
        <item m="1" x="682"/>
        <item m="1" x="1336"/>
        <item m="1" x="1573"/>
        <item m="1" x="4903"/>
        <item x="414"/>
        <item m="1" x="968"/>
        <item m="1" x="4936"/>
        <item m="1" x="3687"/>
        <item m="1" x="1488"/>
        <item m="1" x="2415"/>
        <item m="1" x="1486"/>
        <item m="1" x="3764"/>
        <item m="1" x="3198"/>
        <item m="1" x="4203"/>
        <item m="1" x="2540"/>
        <item m="1" x="4561"/>
        <item m="1" x="991"/>
        <item m="1" x="4129"/>
        <item m="1" x="4034"/>
        <item m="1" x="2356"/>
        <item m="1" x="2379"/>
        <item m="1" x="4701"/>
        <item m="1" x="4483"/>
        <item m="1" x="4557"/>
        <item m="1" x="3222"/>
        <item x="434"/>
        <item m="1" x="1384"/>
        <item x="66"/>
        <item m="1" x="3255"/>
        <item m="1" x="1817"/>
        <item x="82"/>
        <item m="1" x="3320"/>
        <item m="1" x="2533"/>
        <item m="1" x="3177"/>
        <item m="1" x="2730"/>
        <item m="1" x="3318"/>
        <item m="1" x="3347"/>
        <item x="563"/>
        <item m="1" x="4302"/>
        <item m="1" x="1392"/>
        <item m="1" x="4535"/>
        <item m="1" x="1349"/>
        <item m="1" x="2211"/>
        <item m="1" x="2234"/>
        <item m="1" x="4585"/>
        <item m="1" x="1691"/>
        <item m="1" x="4723"/>
        <item x="143"/>
        <item x="411"/>
        <item m="1" x="4811"/>
        <item m="1" x="2202"/>
        <item x="460"/>
        <item m="1" x="4214"/>
        <item m="1" x="2387"/>
        <item m="1" x="3628"/>
        <item m="1" x="1766"/>
        <item m="1" x="2308"/>
        <item m="1" x="3228"/>
        <item m="1" x="4875"/>
        <item m="1" x="4635"/>
        <item m="1" x="680"/>
        <item m="1" x="4288"/>
        <item m="1" x="1560"/>
        <item x="331"/>
        <item m="1" x="3284"/>
        <item m="1" x="3294"/>
        <item m="1" x="2487"/>
        <item m="1" x="4113"/>
        <item m="1" x="3606"/>
        <item m="1" x="3303"/>
        <item m="1" x="3965"/>
        <item m="1" x="3199"/>
        <item m="1" x="1271"/>
        <item x="148"/>
        <item m="1" x="2828"/>
        <item m="1" x="1283"/>
        <item m="1" x="3647"/>
        <item m="1" x="3000"/>
        <item m="1" x="3314"/>
        <item m="1" x="3077"/>
        <item m="1" x="2019"/>
        <item m="1" x="2801"/>
        <item m="1" x="1008"/>
        <item m="1" x="729"/>
        <item m="1" x="2567"/>
        <item m="1" x="2719"/>
        <item m="1" x="3335"/>
        <item m="1" x="2770"/>
        <item m="1" x="4273"/>
        <item m="1" x="2775"/>
        <item m="1" x="1850"/>
        <item m="1" x="4729"/>
        <item m="1" x="4098"/>
        <item m="1" x="1019"/>
        <item m="1" x="3598"/>
        <item m="1" x="4220"/>
        <item m="1" x="847"/>
        <item m="1" x="3389"/>
        <item x="398"/>
        <item m="1" x="2979"/>
        <item m="1" x="3892"/>
        <item m="1" x="1823"/>
        <item m="1" x="4576"/>
        <item m="1" x="3657"/>
        <item m="1" x="2102"/>
        <item m="1" x="4187"/>
        <item m="1" x="664"/>
        <item m="1" x="1478"/>
        <item m="1" x="1102"/>
        <item m="1" x="973"/>
        <item m="1" x="2434"/>
        <item m="1" x="3862"/>
        <item m="1" x="2587"/>
        <item m="1" x="4694"/>
        <item x="587"/>
        <item x="582"/>
        <item m="1" x="3428"/>
        <item m="1" x="2399"/>
        <item m="1" x="4008"/>
        <item m="1" x="4664"/>
        <item x="401"/>
        <item m="1" x="4556"/>
        <item x="459"/>
        <item m="1" x="4787"/>
        <item m="1" x="1441"/>
        <item m="1" x="2514"/>
        <item m="1" x="891"/>
        <item x="15"/>
        <item m="1" x="757"/>
        <item m="1" x="4180"/>
        <item m="1" x="3974"/>
        <item m="1" x="3906"/>
        <item m="1" x="2498"/>
        <item m="1" x="3592"/>
        <item m="1" x="1236"/>
        <item m="1" x="3337"/>
        <item m="1" x="1192"/>
        <item m="1" x="1496"/>
        <item m="1" x="2406"/>
        <item m="1" x="1420"/>
        <item m="1" x="2318"/>
        <item x="27"/>
        <item m="1" x="3390"/>
        <item m="1" x="818"/>
        <item m="1" x="2877"/>
        <item m="1" x="771"/>
        <item m="1" x="4583"/>
        <item m="1" x="2088"/>
        <item m="1" x="4620"/>
        <item m="1" x="3411"/>
        <item m="1" x="4958"/>
        <item m="1" x="4979"/>
        <item m="1" x="4832"/>
        <item m="1" x="4947"/>
        <item m="1" x="977"/>
        <item m="1" x="4661"/>
        <item m="1" x="2899"/>
        <item m="1" x="1725"/>
        <item m="1" x="4880"/>
        <item m="1" x="897"/>
        <item m="1" x="3368"/>
        <item x="96"/>
        <item m="1" x="4501"/>
        <item m="1" x="2464"/>
        <item m="1" x="3613"/>
        <item m="1" x="1042"/>
        <item x="292"/>
        <item m="1" x="2797"/>
        <item m="1" x="3219"/>
        <item m="1" x="4226"/>
        <item m="1" x="3755"/>
        <item m="1" x="1802"/>
        <item m="1" x="3827"/>
        <item m="1" x="3668"/>
        <item m="1" x="3876"/>
        <item x="576"/>
        <item m="1" x="1758"/>
        <item m="1" x="2958"/>
        <item m="1" x="2904"/>
        <item x="142"/>
        <item m="1" x="3741"/>
        <item m="1" x="3440"/>
        <item x="119"/>
        <item m="1" x="3569"/>
        <item m="1" x="1935"/>
        <item x="575"/>
        <item m="1" x="3054"/>
        <item m="1" x="4067"/>
        <item m="1" x="4280"/>
        <item m="1" x="2006"/>
        <item m="1" x="3244"/>
        <item m="1" x="4956"/>
        <item m="1" x="978"/>
        <item m="1" x="3023"/>
        <item x="39"/>
        <item m="1" x="4878"/>
        <item m="1" x="4531"/>
        <item m="1" x="2746"/>
        <item m="1" x="3208"/>
        <item m="1" x="3144"/>
        <item m="1" x="2021"/>
        <item m="1" x="3282"/>
        <item m="1" x="2474"/>
        <item m="1" x="4052"/>
        <item m="1" x="2714"/>
        <item m="1" x="1646"/>
        <item x="467"/>
        <item x="298"/>
        <item m="1" x="1167"/>
        <item m="1" x="3861"/>
        <item m="1" x="3003"/>
        <item m="1" x="1891"/>
        <item m="1" x="1338"/>
        <item m="1" x="2410"/>
        <item x="446"/>
        <item x="283"/>
        <item m="1" x="3133"/>
        <item x="539"/>
        <item m="1" x="1279"/>
        <item m="1" x="628"/>
        <item m="1" x="2799"/>
        <item m="1" x="3268"/>
        <item m="1" x="4198"/>
        <item x="152"/>
        <item m="1" x="2242"/>
        <item m="1" x="4392"/>
        <item m="1" x="2341"/>
        <item m="1" x="3948"/>
        <item m="1" x="4838"/>
        <item m="1" x="1078"/>
        <item m="1" x="4163"/>
        <item m="1" x="646"/>
        <item m="1" x="1873"/>
        <item m="1" x="2326"/>
        <item m="1" x="2577"/>
        <item m="1" x="3630"/>
        <item m="1" x="2981"/>
        <item m="1" x="4435"/>
        <item m="1" x="4899"/>
        <item m="1" x="2369"/>
        <item m="1" x="2128"/>
        <item m="1" x="1242"/>
        <item m="1" x="1083"/>
        <item m="1" x="1458"/>
        <item m="1" x="1529"/>
        <item m="1" x="2477"/>
        <item m="1" x="2639"/>
        <item m="1" x="1800"/>
        <item m="1" x="2463"/>
        <item m="1" x="3062"/>
        <item m="1" x="1197"/>
        <item m="1" x="3412"/>
        <item m="1" x="2734"/>
        <item m="1" x="1369"/>
        <item m="1" x="3484"/>
        <item m="1" x="2417"/>
        <item m="1" x="1524"/>
        <item m="1" x="4494"/>
        <item m="1" x="4044"/>
        <item m="1" x="2663"/>
        <item x="198"/>
        <item m="1" x="614"/>
        <item x="279"/>
        <item m="1" x="4732"/>
        <item x="423"/>
        <item m="1" x="1713"/>
        <item m="1" x="4689"/>
        <item m="1" x="2447"/>
        <item m="1" x="1356"/>
        <item m="1" x="4969"/>
        <item m="1" x="1601"/>
        <item m="1" x="1380"/>
        <item m="1" x="4285"/>
        <item m="1" x="4048"/>
        <item m="1" x="4147"/>
        <item m="1" x="3066"/>
        <item x="403"/>
        <item m="1" x="2586"/>
        <item m="1" x="2920"/>
        <item m="1" x="4581"/>
        <item m="1" x="983"/>
        <item m="1" x="4462"/>
        <item m="1" x="1378"/>
        <item m="1" x="3659"/>
        <item x="416"/>
        <item m="1" x="1434"/>
        <item m="1" x="1851"/>
        <item m="1" x="3864"/>
        <item m="1" x="2552"/>
        <item m="1" x="3211"/>
        <item m="1" x="1893"/>
        <item m="1" x="2296"/>
        <item m="1" x="1424"/>
        <item x="509"/>
        <item m="1" x="4433"/>
        <item x="359"/>
        <item m="1" x="1844"/>
        <item m="1" x="4945"/>
        <item m="1" x="783"/>
        <item m="1" x="3978"/>
        <item m="1" x="3145"/>
        <item m="1" x="2254"/>
        <item m="1" x="693"/>
        <item m="1" x="2310"/>
        <item x="167"/>
        <item m="1" x="2390"/>
        <item m="1" x="4028"/>
        <item m="1" x="718"/>
        <item m="1" x="3115"/>
        <item m="1" x="3090"/>
        <item m="1" x="4735"/>
        <item m="1" x="4913"/>
        <item m="1" x="2834"/>
        <item m="1" x="4826"/>
        <item m="1" x="1417"/>
        <item m="1" x="2108"/>
        <item m="1" x="694"/>
        <item m="1" x="2306"/>
        <item m="1" x="1752"/>
        <item m="1" x="4083"/>
        <item m="1" x="3724"/>
        <item m="1" x="3322"/>
        <item m="1" x="2945"/>
        <item m="1" x="2502"/>
        <item m="1" x="1736"/>
        <item m="1" x="4232"/>
        <item m="1" x="4933"/>
        <item m="1" x="4698"/>
        <item m="1" x="4327"/>
        <item m="1" x="3995"/>
        <item m="1" x="3108"/>
        <item m="1" x="4641"/>
        <item m="1" x="3819"/>
        <item m="1" x="2090"/>
        <item m="1" x="4139"/>
        <item m="1" x="1634"/>
        <item x="493"/>
        <item m="1" x="3952"/>
        <item m="1" x="2153"/>
        <item m="1" x="2383"/>
        <item m="1" x="2199"/>
        <item x="451"/>
        <item m="1" x="2822"/>
        <item m="1" x="2386"/>
        <item m="1" x="3600"/>
        <item m="1" x="2969"/>
        <item m="1" x="3230"/>
        <item m="1" x="3822"/>
        <item m="1" x="4803"/>
        <item m="1" x="4546"/>
        <item m="1" x="3483"/>
        <item m="1" x="2711"/>
        <item m="1" x="1045"/>
        <item m="1" x="2312"/>
        <item m="1" x="3170"/>
        <item m="1" x="2436"/>
        <item m="1" x="1591"/>
        <item m="1" x="4522"/>
        <item m="1" x="2625"/>
        <item m="1" x="2546"/>
        <item m="1" x="3626"/>
        <item m="1" x="2203"/>
        <item m="1" x="4478"/>
        <item m="1" x="3736"/>
        <item m="1" x="3504"/>
        <item m="1" x="3695"/>
        <item m="1" x="1284"/>
        <item m="1" x="4796"/>
        <item m="1" x="1730"/>
        <item m="1" x="632"/>
        <item m="1" x="1684"/>
        <item m="1" x="1619"/>
        <item m="1" x="3591"/>
        <item x="115"/>
        <item m="1" x="3601"/>
        <item x="69"/>
        <item m="1" x="3697"/>
        <item m="1" x="4870"/>
        <item m="1" x="3532"/>
        <item m="1" x="4149"/>
        <item m="1" x="4704"/>
        <item m="1" x="3507"/>
        <item m="1" x="4533"/>
        <item m="1" x="4715"/>
        <item m="1" x="1436"/>
        <item m="1" x="981"/>
        <item m="1" x="1660"/>
        <item m="1" x="1797"/>
        <item m="1" x="3705"/>
        <item m="1" x="3004"/>
        <item x="312"/>
        <item m="1" x="4902"/>
        <item m="1" x="1142"/>
        <item m="1" x="3747"/>
        <item m="1" x="971"/>
        <item m="1" x="3884"/>
        <item m="1" x="4245"/>
        <item m="1" x="1318"/>
        <item m="1" x="4798"/>
        <item m="1" x="2100"/>
        <item m="1" x="1489"/>
        <item m="1" x="4918"/>
        <item m="1" x="4382"/>
        <item m="1" x="1004"/>
        <item m="1" x="1835"/>
        <item m="1" x="3941"/>
        <item m="1" x="4210"/>
        <item m="1" x="3935"/>
        <item m="1" x="4286"/>
        <item m="1" x="1278"/>
        <item m="1" x="3490"/>
        <item x="181"/>
        <item m="1" x="1256"/>
        <item m="1" x="4572"/>
        <item m="1" x="1669"/>
        <item m="1" x="702"/>
        <item m="1" x="1996"/>
        <item x="68"/>
        <item m="1" x="1366"/>
        <item m="1" x="4578"/>
        <item m="1" x="735"/>
        <item m="1" x="3650"/>
        <item m="1" x="4898"/>
        <item m="1" x="3682"/>
        <item t="default"/>
      </items>
      <autoSortScope>
        <pivotArea dataOnly="0" outline="0" fieldPosition="0">
          <references count="1">
            <reference field="4294967294" count="1" selected="0">
              <x v="2"/>
            </reference>
          </references>
        </pivotArea>
      </autoSortScope>
    </pivotField>
    <pivotField showAll="0"/>
    <pivotField showAll="0"/>
    <pivotField numFmtId="165" showAll="0"/>
    <pivotField dataField="1" numFmtId="2" showAll="0"/>
    <pivotField axis="axisRow" showAll="0">
      <items count="28">
        <item x="0"/>
        <item x="23"/>
        <item x="8"/>
        <item x="15"/>
        <item x="3"/>
        <item x="24"/>
        <item x="10"/>
        <item x="25"/>
        <item x="21"/>
        <item x="7"/>
        <item x="2"/>
        <item x="11"/>
        <item x="5"/>
        <item x="20"/>
        <item x="22"/>
        <item x="19"/>
        <item m="1" x="26"/>
        <item x="16"/>
        <item x="1"/>
        <item x="13"/>
        <item x="14"/>
        <item x="12"/>
        <item x="4"/>
        <item x="18"/>
        <item x="9"/>
        <item x="6"/>
        <item x="17"/>
        <item t="default"/>
      </items>
    </pivotField>
    <pivotField dataField="1"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2">
    <field x="6"/>
    <field x="1"/>
  </rowFields>
  <rowItems count="505">
    <i>
      <x/>
    </i>
    <i r="1">
      <x v="3250"/>
    </i>
    <i r="1">
      <x v="1984"/>
    </i>
    <i r="1">
      <x v="2747"/>
    </i>
    <i r="1">
      <x v="4355"/>
    </i>
    <i r="1">
      <x v="3369"/>
    </i>
    <i r="1">
      <x v="4637"/>
    </i>
    <i r="1">
      <x v="4270"/>
    </i>
    <i r="1">
      <x v="1247"/>
    </i>
    <i r="1">
      <x v="1577"/>
    </i>
    <i r="1">
      <x v="2154"/>
    </i>
    <i r="1">
      <x v="1477"/>
    </i>
    <i r="1">
      <x v="270"/>
    </i>
    <i r="1">
      <x v="4824"/>
    </i>
    <i r="1">
      <x v="156"/>
    </i>
    <i r="1">
      <x v="3521"/>
    </i>
    <i r="1">
      <x v="2214"/>
    </i>
    <i r="1">
      <x v="2557"/>
    </i>
    <i r="1">
      <x v="3397"/>
    </i>
    <i r="1">
      <x v="3002"/>
    </i>
    <i r="1">
      <x v="2394"/>
    </i>
    <i r="1">
      <x v="3842"/>
    </i>
    <i r="1">
      <x v="73"/>
    </i>
    <i r="1">
      <x v="2006"/>
    </i>
    <i r="1">
      <x v="3965"/>
    </i>
    <i r="1">
      <x v="4111"/>
    </i>
    <i r="1">
      <x v="2173"/>
    </i>
    <i r="1">
      <x v="3711"/>
    </i>
    <i r="1">
      <x v="4413"/>
    </i>
    <i r="1">
      <x v="1433"/>
    </i>
    <i r="1">
      <x v="4859"/>
    </i>
    <i r="1">
      <x v="3857"/>
    </i>
    <i r="1">
      <x v="804"/>
    </i>
    <i r="1">
      <x v="3870"/>
    </i>
    <i r="1">
      <x v="4568"/>
    </i>
    <i r="1">
      <x v="1535"/>
    </i>
    <i r="1">
      <x v="4828"/>
    </i>
    <i r="1">
      <x v="464"/>
    </i>
    <i r="1">
      <x v="4117"/>
    </i>
    <i r="1">
      <x v="1525"/>
    </i>
    <i r="1">
      <x v="3701"/>
    </i>
    <i r="1">
      <x v="3330"/>
    </i>
    <i r="1">
      <x v="3268"/>
    </i>
    <i r="1">
      <x v="459"/>
    </i>
    <i r="1">
      <x v="2072"/>
    </i>
    <i r="1">
      <x v="3715"/>
    </i>
    <i r="1">
      <x v="762"/>
    </i>
    <i r="1">
      <x v="638"/>
    </i>
    <i r="1">
      <x v="4285"/>
    </i>
    <i r="1">
      <x v="3907"/>
    </i>
    <i r="1">
      <x v="1027"/>
    </i>
    <i r="1">
      <x v="473"/>
    </i>
    <i>
      <x v="1"/>
    </i>
    <i r="1">
      <x v="3638"/>
    </i>
    <i r="1">
      <x v="4229"/>
    </i>
    <i r="1">
      <x v="1639"/>
    </i>
    <i r="1">
      <x v="3106"/>
    </i>
    <i r="1">
      <x v="3474"/>
    </i>
    <i r="1">
      <x v="4342"/>
    </i>
    <i r="1">
      <x v="4611"/>
    </i>
    <i r="1">
      <x v="326"/>
    </i>
    <i r="1">
      <x v="2485"/>
    </i>
    <i r="1">
      <x v="3148"/>
    </i>
    <i r="1">
      <x v="947"/>
    </i>
    <i r="1">
      <x v="3813"/>
    </i>
    <i r="1">
      <x v="2256"/>
    </i>
    <i r="1">
      <x v="4485"/>
    </i>
    <i r="1">
      <x v="782"/>
    </i>
    <i r="1">
      <x v="934"/>
    </i>
    <i r="1">
      <x v="2757"/>
    </i>
    <i r="1">
      <x v="606"/>
    </i>
    <i r="1">
      <x v="4684"/>
    </i>
    <i r="1">
      <x v="4840"/>
    </i>
    <i r="1">
      <x v="3695"/>
    </i>
    <i r="1">
      <x v="574"/>
    </i>
    <i r="1">
      <x v="1631"/>
    </i>
    <i r="1">
      <x v="1574"/>
    </i>
    <i r="1">
      <x v="550"/>
    </i>
    <i r="1">
      <x v="2427"/>
    </i>
    <i r="1">
      <x v="962"/>
    </i>
    <i r="1">
      <x v="1361"/>
    </i>
    <i r="1">
      <x v="1840"/>
    </i>
    <i r="1">
      <x v="3531"/>
    </i>
    <i r="1">
      <x v="3299"/>
    </i>
    <i r="1">
      <x v="578"/>
    </i>
    <i>
      <x v="2"/>
    </i>
    <i r="1">
      <x v="1204"/>
    </i>
    <i r="1">
      <x v="1007"/>
    </i>
    <i r="1">
      <x v="2255"/>
    </i>
    <i r="1">
      <x v="1087"/>
    </i>
    <i r="1">
      <x v="2017"/>
    </i>
    <i r="1">
      <x v="4739"/>
    </i>
    <i>
      <x v="3"/>
    </i>
    <i r="1">
      <x v="247"/>
    </i>
    <i r="1">
      <x v="1811"/>
    </i>
    <i r="1">
      <x v="2964"/>
    </i>
    <i r="1">
      <x v="4061"/>
    </i>
    <i r="1">
      <x v="71"/>
    </i>
    <i r="1">
      <x v="1201"/>
    </i>
    <i r="1">
      <x v="3143"/>
    </i>
    <i r="1">
      <x v="4937"/>
    </i>
    <i r="1">
      <x v="4187"/>
    </i>
    <i r="1">
      <x v="1306"/>
    </i>
    <i r="1">
      <x v="1844"/>
    </i>
    <i r="1">
      <x v="1097"/>
    </i>
    <i r="1">
      <x v="3529"/>
    </i>
    <i r="1">
      <x v="4006"/>
    </i>
    <i r="1">
      <x v="3790"/>
    </i>
    <i r="1">
      <x v="4275"/>
    </i>
    <i r="1">
      <x v="2377"/>
    </i>
    <i r="1">
      <x v="510"/>
    </i>
    <i r="1">
      <x v="3865"/>
    </i>
    <i r="1">
      <x v="4848"/>
    </i>
    <i r="1">
      <x v="4470"/>
    </i>
    <i r="1">
      <x v="4249"/>
    </i>
    <i r="1">
      <x v="281"/>
    </i>
    <i r="1">
      <x v="2304"/>
    </i>
    <i r="1">
      <x v="1742"/>
    </i>
    <i r="1">
      <x v="905"/>
    </i>
    <i>
      <x v="4"/>
    </i>
    <i r="1">
      <x v="2534"/>
    </i>
    <i r="1">
      <x v="4462"/>
    </i>
    <i r="1">
      <x v="1953"/>
    </i>
    <i r="1">
      <x v="99"/>
    </i>
    <i r="1">
      <x v="2587"/>
    </i>
    <i r="1">
      <x v="1073"/>
    </i>
    <i r="1">
      <x v="3047"/>
    </i>
    <i r="1">
      <x v="974"/>
    </i>
    <i r="1">
      <x v="396"/>
    </i>
    <i r="1">
      <x v="1892"/>
    </i>
    <i r="1">
      <x v="1069"/>
    </i>
    <i r="1">
      <x v="173"/>
    </i>
    <i r="1">
      <x v="4143"/>
    </i>
    <i r="1">
      <x v="104"/>
    </i>
    <i r="1">
      <x v="2410"/>
    </i>
    <i r="1">
      <x v="1954"/>
    </i>
    <i r="1">
      <x v="4321"/>
    </i>
    <i r="1">
      <x v="2662"/>
    </i>
    <i r="1">
      <x v="1214"/>
    </i>
    <i r="1">
      <x v="431"/>
    </i>
    <i r="1">
      <x v="2308"/>
    </i>
    <i r="1">
      <x v="3518"/>
    </i>
    <i r="1">
      <x v="3762"/>
    </i>
    <i r="1">
      <x v="2315"/>
    </i>
    <i r="1">
      <x v="86"/>
    </i>
    <i r="1">
      <x v="2192"/>
    </i>
    <i r="1">
      <x v="3003"/>
    </i>
    <i r="1">
      <x v="3107"/>
    </i>
    <i r="1">
      <x v="488"/>
    </i>
    <i r="1">
      <x v="4422"/>
    </i>
    <i r="1">
      <x v="2923"/>
    </i>
    <i r="1">
      <x v="498"/>
    </i>
    <i r="1">
      <x v="1468"/>
    </i>
    <i r="1">
      <x v="4299"/>
    </i>
    <i r="1">
      <x v="320"/>
    </i>
    <i r="1">
      <x v="291"/>
    </i>
    <i r="1">
      <x v="3199"/>
    </i>
    <i r="1">
      <x v="1026"/>
    </i>
    <i r="1">
      <x v="282"/>
    </i>
    <i r="1">
      <x v="4458"/>
    </i>
    <i r="1">
      <x v="1997"/>
    </i>
    <i r="1">
      <x v="1579"/>
    </i>
    <i r="1">
      <x v="3229"/>
    </i>
    <i r="1">
      <x v="3048"/>
    </i>
    <i r="1">
      <x v="4601"/>
    </i>
    <i r="1">
      <x v="4678"/>
    </i>
    <i r="1">
      <x v="463"/>
    </i>
    <i>
      <x v="5"/>
    </i>
    <i r="1">
      <x v="3710"/>
    </i>
    <i r="1">
      <x v="4316"/>
    </i>
    <i r="1">
      <x v="1421"/>
    </i>
    <i r="1">
      <x v="4826"/>
    </i>
    <i r="1">
      <x v="735"/>
    </i>
    <i r="1">
      <x v="525"/>
    </i>
    <i r="1">
      <x v="2688"/>
    </i>
    <i r="1">
      <x v="4379"/>
    </i>
    <i>
      <x v="6"/>
    </i>
    <i r="1">
      <x v="3083"/>
    </i>
    <i r="1">
      <x v="2586"/>
    </i>
    <i r="1">
      <x v="3574"/>
    </i>
    <i r="1">
      <x v="1656"/>
    </i>
    <i r="1">
      <x v="4259"/>
    </i>
    <i r="1">
      <x v="1634"/>
    </i>
    <i r="1">
      <x v="4337"/>
    </i>
    <i r="1">
      <x v="1093"/>
    </i>
    <i r="1">
      <x v="2025"/>
    </i>
    <i r="1">
      <x v="2505"/>
    </i>
    <i>
      <x v="7"/>
    </i>
    <i r="1">
      <x v="27"/>
    </i>
    <i r="1">
      <x v="3093"/>
    </i>
    <i r="1">
      <x v="4297"/>
    </i>
    <i>
      <x v="8"/>
    </i>
    <i r="1">
      <x v="1116"/>
    </i>
    <i r="1">
      <x v="3592"/>
    </i>
    <i r="1">
      <x v="1766"/>
    </i>
    <i>
      <x v="9"/>
    </i>
    <i r="1">
      <x v="46"/>
    </i>
    <i r="1">
      <x v="2428"/>
    </i>
    <i r="1">
      <x v="1774"/>
    </i>
    <i r="1">
      <x v="2492"/>
    </i>
    <i r="1">
      <x v="4501"/>
    </i>
    <i r="1">
      <x v="3046"/>
    </i>
    <i r="1">
      <x v="3379"/>
    </i>
    <i r="1">
      <x v="1802"/>
    </i>
    <i r="1">
      <x v="4627"/>
    </i>
    <i r="1">
      <x v="3559"/>
    </i>
    <i r="1">
      <x v="2026"/>
    </i>
    <i r="1">
      <x v="2349"/>
    </i>
    <i r="1">
      <x v="1592"/>
    </i>
    <i r="1">
      <x v="1369"/>
    </i>
    <i r="1">
      <x v="339"/>
    </i>
    <i r="1">
      <x v="57"/>
    </i>
    <i r="1">
      <x v="2581"/>
    </i>
    <i>
      <x v="10"/>
    </i>
    <i r="1">
      <x v="1951"/>
    </i>
    <i r="1">
      <x v="4085"/>
    </i>
    <i r="1">
      <x v="4939"/>
    </i>
    <i r="1">
      <x v="806"/>
    </i>
    <i r="1">
      <x v="2563"/>
    </i>
    <i r="1">
      <x v="337"/>
    </i>
    <i r="1">
      <x v="1924"/>
    </i>
    <i r="1">
      <x v="325"/>
    </i>
    <i r="1">
      <x v="3398"/>
    </i>
    <i r="1">
      <x v="1197"/>
    </i>
    <i r="1">
      <x v="3308"/>
    </i>
    <i r="1">
      <x v="2549"/>
    </i>
    <i>
      <x v="11"/>
    </i>
    <i r="1">
      <x v="4591"/>
    </i>
    <i r="1">
      <x v="796"/>
    </i>
    <i r="1">
      <x v="4182"/>
    </i>
    <i r="1">
      <x v="1904"/>
    </i>
    <i r="1">
      <x v="2075"/>
    </i>
    <i r="1">
      <x v="3370"/>
    </i>
    <i r="1">
      <x v="430"/>
    </i>
    <i r="1">
      <x v="827"/>
    </i>
    <i r="1">
      <x v="2539"/>
    </i>
    <i r="1">
      <x v="1927"/>
    </i>
    <i r="1">
      <x v="2541"/>
    </i>
    <i r="1">
      <x v="2855"/>
    </i>
    <i r="1">
      <x v="4309"/>
    </i>
    <i r="1">
      <x v="1813"/>
    </i>
    <i r="1">
      <x v="4615"/>
    </i>
    <i r="1">
      <x v="632"/>
    </i>
    <i r="1">
      <x v="1527"/>
    </i>
    <i r="1">
      <x v="36"/>
    </i>
    <i r="1">
      <x v="2367"/>
    </i>
    <i r="1">
      <x v="1488"/>
    </i>
    <i r="1">
      <x v="4781"/>
    </i>
    <i r="1">
      <x v="3943"/>
    </i>
    <i r="1">
      <x v="3215"/>
    </i>
    <i r="1">
      <x v="1707"/>
    </i>
    <i r="1">
      <x v="3619"/>
    </i>
    <i r="1">
      <x v="3707"/>
    </i>
    <i r="1">
      <x v="418"/>
    </i>
    <i r="1">
      <x v="1946"/>
    </i>
    <i>
      <x v="12"/>
    </i>
    <i r="1">
      <x v="1519"/>
    </i>
    <i r="1">
      <x v="772"/>
    </i>
    <i r="1">
      <x v="4435"/>
    </i>
    <i r="1">
      <x v="2287"/>
    </i>
    <i r="1">
      <x v="4281"/>
    </i>
    <i r="1">
      <x v="3941"/>
    </i>
    <i r="1">
      <x v="2604"/>
    </i>
    <i r="1">
      <x v="4725"/>
    </i>
    <i r="1">
      <x v="4560"/>
    </i>
    <i r="1">
      <x v="2263"/>
    </i>
    <i r="1">
      <x v="1831"/>
    </i>
    <i r="1">
      <x v="755"/>
    </i>
    <i r="1">
      <x v="2100"/>
    </i>
    <i r="1">
      <x v="1679"/>
    </i>
    <i r="1">
      <x v="1478"/>
    </i>
    <i r="1">
      <x v="3192"/>
    </i>
    <i r="1">
      <x v="2264"/>
    </i>
    <i r="1">
      <x v="536"/>
    </i>
    <i r="1">
      <x v="4102"/>
    </i>
    <i r="1">
      <x v="1216"/>
    </i>
    <i r="1">
      <x v="795"/>
    </i>
    <i r="1">
      <x v="3041"/>
    </i>
    <i r="1">
      <x v="1564"/>
    </i>
    <i r="1">
      <x v="3337"/>
    </i>
    <i r="1">
      <x v="3737"/>
    </i>
    <i r="1">
      <x v="3656"/>
    </i>
    <i r="1">
      <x v="234"/>
    </i>
    <i r="1">
      <x v="1251"/>
    </i>
    <i r="1">
      <x v="4900"/>
    </i>
    <i r="1">
      <x v="2494"/>
    </i>
    <i r="1">
      <x v="4857"/>
    </i>
    <i r="1">
      <x v="4476"/>
    </i>
    <i r="1">
      <x v="2003"/>
    </i>
    <i>
      <x v="13"/>
    </i>
    <i r="1">
      <x v="3164"/>
    </i>
    <i r="1">
      <x v="2856"/>
    </i>
    <i r="1">
      <x v="2092"/>
    </i>
    <i r="1">
      <x v="4479"/>
    </i>
    <i r="1">
      <x v="3318"/>
    </i>
    <i r="1">
      <x v="2509"/>
    </i>
    <i r="1">
      <x v="4353"/>
    </i>
    <i>
      <x v="14"/>
    </i>
    <i r="1">
      <x v="1497"/>
    </i>
    <i r="1">
      <x v="4080"/>
    </i>
    <i r="1">
      <x v="1606"/>
    </i>
    <i r="1">
      <x v="3547"/>
    </i>
    <i r="1">
      <x v="3149"/>
    </i>
    <i r="1">
      <x v="3012"/>
    </i>
    <i>
      <x v="15"/>
    </i>
    <i r="1">
      <x v="1713"/>
    </i>
    <i r="1">
      <x v="4975"/>
    </i>
    <i r="1">
      <x v="225"/>
    </i>
    <i r="1">
      <x v="1578"/>
    </i>
    <i r="1">
      <x v="1493"/>
    </i>
    <i r="1">
      <x v="912"/>
    </i>
    <i r="1">
      <x v="2386"/>
    </i>
    <i r="1">
      <x v="3185"/>
    </i>
    <i r="1">
      <x v="1687"/>
    </i>
    <i r="1">
      <x v="4276"/>
    </i>
    <i r="1">
      <x v="4589"/>
    </i>
    <i r="1">
      <x v="3959"/>
    </i>
    <i r="1">
      <x v="1768"/>
    </i>
    <i r="1">
      <x v="2924"/>
    </i>
    <i r="1">
      <x v="1641"/>
    </i>
    <i r="1">
      <x v="4018"/>
    </i>
    <i>
      <x v="17"/>
    </i>
    <i r="1">
      <x v="4758"/>
    </i>
    <i r="1">
      <x v="4546"/>
    </i>
    <i r="1">
      <x v="249"/>
    </i>
    <i r="1">
      <x v="1785"/>
    </i>
    <i r="1">
      <x v="2532"/>
    </i>
    <i r="1">
      <x v="1092"/>
    </i>
    <i r="1">
      <x v="703"/>
    </i>
    <i>
      <x v="18"/>
    </i>
    <i r="1">
      <x v="3245"/>
    </i>
    <i r="1">
      <x v="809"/>
    </i>
    <i r="1">
      <x v="1779"/>
    </i>
    <i r="1">
      <x v="3627"/>
    </i>
    <i r="1">
      <x v="3611"/>
    </i>
    <i r="1">
      <x v="2429"/>
    </i>
    <i r="1">
      <x v="4746"/>
    </i>
    <i r="1">
      <x v="1900"/>
    </i>
    <i r="1">
      <x v="1143"/>
    </i>
    <i r="1">
      <x v="3770"/>
    </i>
    <i r="1">
      <x v="461"/>
    </i>
    <i r="1">
      <x v="3125"/>
    </i>
    <i r="1">
      <x v="3667"/>
    </i>
    <i r="1">
      <x v="3867"/>
    </i>
    <i r="1">
      <x v="2719"/>
    </i>
    <i r="1">
      <x v="3972"/>
    </i>
    <i r="1">
      <x v="3637"/>
    </i>
    <i r="1">
      <x v="2186"/>
    </i>
    <i r="1">
      <x v="2393"/>
    </i>
    <i r="1">
      <x v="2800"/>
    </i>
    <i r="1">
      <x v="4313"/>
    </i>
    <i r="1">
      <x v="3472"/>
    </i>
    <i r="1">
      <x v="3604"/>
    </i>
    <i r="1">
      <x v="429"/>
    </i>
    <i r="1">
      <x v="1101"/>
    </i>
    <i r="1">
      <x v="2911"/>
    </i>
    <i r="1">
      <x v="2010"/>
    </i>
    <i r="1">
      <x v="3544"/>
    </i>
    <i>
      <x v="19"/>
    </i>
    <i r="1">
      <x v="1448"/>
    </i>
    <i r="1">
      <x v="4088"/>
    </i>
    <i r="1">
      <x v="1928"/>
    </i>
    <i r="1">
      <x v="3331"/>
    </i>
    <i r="1">
      <x v="4280"/>
    </i>
    <i r="1">
      <x v="80"/>
    </i>
    <i r="1">
      <x v="426"/>
    </i>
    <i r="1">
      <x v="2904"/>
    </i>
    <i r="1">
      <x v="2378"/>
    </i>
    <i r="1">
      <x v="673"/>
    </i>
    <i r="1">
      <x v="245"/>
    </i>
    <i r="1">
      <x v="964"/>
    </i>
    <i r="1">
      <x v="922"/>
    </i>
    <i r="1">
      <x v="1246"/>
    </i>
    <i r="1">
      <x v="4144"/>
    </i>
    <i r="1">
      <x v="4370"/>
    </i>
    <i r="1">
      <x v="976"/>
    </i>
    <i r="1">
      <x v="2684"/>
    </i>
    <i>
      <x v="20"/>
    </i>
    <i r="1">
      <x v="2455"/>
    </i>
    <i r="1">
      <x v="3577"/>
    </i>
    <i r="1">
      <x v="1427"/>
    </i>
    <i>
      <x v="21"/>
    </i>
    <i r="1">
      <x v="4705"/>
    </i>
    <i r="1">
      <x v="567"/>
    </i>
    <i r="1">
      <x v="2957"/>
    </i>
    <i r="1">
      <x v="3223"/>
    </i>
    <i r="1">
      <x v="1142"/>
    </i>
    <i r="1">
      <x v="3158"/>
    </i>
    <i r="1">
      <x v="3066"/>
    </i>
    <i r="1">
      <x v="1677"/>
    </i>
    <i r="1">
      <x v="2470"/>
    </i>
    <i r="1">
      <x v="330"/>
    </i>
    <i r="1">
      <x v="627"/>
    </i>
    <i r="1">
      <x v="1444"/>
    </i>
    <i r="1">
      <x v="4905"/>
    </i>
    <i r="1">
      <x v="650"/>
    </i>
    <i r="1">
      <x v="3447"/>
    </i>
    <i r="1">
      <x v="4679"/>
    </i>
    <i>
      <x v="22"/>
    </i>
    <i r="1">
      <x v="1725"/>
    </i>
    <i r="1">
      <x v="3391"/>
    </i>
    <i r="1">
      <x v="1132"/>
    </i>
    <i r="1">
      <x v="2815"/>
    </i>
    <i r="1">
      <x v="1515"/>
    </i>
    <i r="1">
      <x v="3395"/>
    </i>
    <i r="1">
      <x v="1777"/>
    </i>
    <i r="1">
      <x v="497"/>
    </i>
    <i r="1">
      <x v="913"/>
    </i>
    <i r="1">
      <x v="4730"/>
    </i>
    <i r="1">
      <x v="1253"/>
    </i>
    <i r="1">
      <x v="1355"/>
    </i>
    <i r="1">
      <x v="2087"/>
    </i>
    <i r="1">
      <x v="3009"/>
    </i>
    <i r="1">
      <x v="159"/>
    </i>
    <i r="1">
      <x v="1089"/>
    </i>
    <i r="1">
      <x v="3874"/>
    </i>
    <i r="1">
      <x v="4662"/>
    </i>
    <i r="1">
      <x v="4506"/>
    </i>
    <i r="1">
      <x v="2143"/>
    </i>
    <i r="1">
      <x v="562"/>
    </i>
    <i r="1">
      <x v="1240"/>
    </i>
    <i r="1">
      <x v="4686"/>
    </i>
    <i r="1">
      <x v="273"/>
    </i>
    <i r="1">
      <x v="2654"/>
    </i>
    <i r="1">
      <x v="950"/>
    </i>
    <i r="1">
      <x v="243"/>
    </i>
    <i r="1">
      <x v="4521"/>
    </i>
    <i>
      <x v="23"/>
    </i>
    <i r="1">
      <x v="2041"/>
    </i>
    <i r="1">
      <x v="4066"/>
    </i>
    <i r="1">
      <x v="1727"/>
    </i>
    <i r="1">
      <x v="499"/>
    </i>
    <i r="1">
      <x v="2578"/>
    </i>
    <i r="1">
      <x v="4523"/>
    </i>
    <i r="1">
      <x v="1658"/>
    </i>
    <i>
      <x v="24"/>
    </i>
    <i r="1">
      <x v="3904"/>
    </i>
    <i r="1">
      <x v="1585"/>
    </i>
    <i r="1">
      <x v="4534"/>
    </i>
    <i r="1">
      <x v="2401"/>
    </i>
    <i r="1">
      <x v="4446"/>
    </i>
    <i r="1">
      <x v="469"/>
    </i>
    <i r="1">
      <x v="3367"/>
    </i>
    <i r="1">
      <x v="3890"/>
    </i>
    <i r="1">
      <x v="4594"/>
    </i>
    <i r="1">
      <x v="1830"/>
    </i>
    <i r="1">
      <x v="3988"/>
    </i>
    <i r="1">
      <x v="2580"/>
    </i>
    <i r="1">
      <x v="182"/>
    </i>
    <i r="1">
      <x v="4787"/>
    </i>
    <i r="1">
      <x v="1314"/>
    </i>
    <i r="1">
      <x v="3956"/>
    </i>
    <i r="1">
      <x v="294"/>
    </i>
    <i r="1">
      <x v="2131"/>
    </i>
    <i r="1">
      <x v="1442"/>
    </i>
    <i r="1">
      <x v="1466"/>
    </i>
    <i r="1">
      <x v="333"/>
    </i>
    <i r="1">
      <x v="3213"/>
    </i>
    <i r="1">
      <x v="3314"/>
    </i>
    <i r="1">
      <x v="4025"/>
    </i>
    <i r="1">
      <x v="732"/>
    </i>
    <i r="1">
      <x v="3481"/>
    </i>
    <i r="1">
      <x v="4779"/>
    </i>
    <i r="1">
      <x v="3696"/>
    </i>
    <i r="1">
      <x v="4433"/>
    </i>
    <i r="1">
      <x v="4954"/>
    </i>
    <i r="1">
      <x v="4369"/>
    </i>
    <i r="1">
      <x v="1504"/>
    </i>
    <i r="1">
      <x v="1121"/>
    </i>
    <i r="1">
      <x v="3097"/>
    </i>
    <i r="1">
      <x v="2387"/>
    </i>
    <i r="1">
      <x v="1180"/>
    </i>
    <i r="1">
      <x v="937"/>
    </i>
    <i r="1">
      <x v="58"/>
    </i>
    <i r="1">
      <x v="1629"/>
    </i>
    <i r="1">
      <x v="1438"/>
    </i>
    <i r="1">
      <x v="3580"/>
    </i>
    <i r="1">
      <x v="2180"/>
    </i>
    <i r="1">
      <x v="3069"/>
    </i>
    <i r="1">
      <x v="4032"/>
    </i>
    <i r="1">
      <x v="953"/>
    </i>
    <i r="1">
      <x v="2550"/>
    </i>
    <i r="1">
      <x v="1313"/>
    </i>
    <i r="1">
      <x v="4318"/>
    </i>
    <i r="1">
      <x v="3872"/>
    </i>
    <i r="1">
      <x v="532"/>
    </i>
    <i r="1">
      <x v="374"/>
    </i>
    <i r="1">
      <x v="1760"/>
    </i>
    <i r="1">
      <x v="3038"/>
    </i>
    <i r="1">
      <x v="4475"/>
    </i>
    <i>
      <x v="25"/>
    </i>
    <i r="1">
      <x v="3936"/>
    </i>
    <i r="1">
      <x v="311"/>
    </i>
    <i r="1">
      <x v="2922"/>
    </i>
    <i r="1">
      <x v="1734"/>
    </i>
    <i r="1">
      <x v="101"/>
    </i>
    <i r="1">
      <x v="2292"/>
    </i>
    <i r="1">
      <x v="1245"/>
    </i>
    <i r="1">
      <x v="662"/>
    </i>
    <i>
      <x v="26"/>
    </i>
    <i r="1">
      <x v="230"/>
    </i>
    <i r="1">
      <x v="2776"/>
    </i>
    <i r="1">
      <x v="1391"/>
    </i>
    <i r="1">
      <x v="1062"/>
    </i>
    <i t="grand">
      <x/>
    </i>
  </rowItems>
  <colFields count="1">
    <field x="-2"/>
  </colFields>
  <colItems count="3">
    <i>
      <x/>
    </i>
    <i i="1">
      <x v="1"/>
    </i>
    <i i="2">
      <x v="2"/>
    </i>
  </colItems>
  <dataFields count="3">
    <dataField name="Sum of Workers" fld="7" baseField="0" baseItem="0"/>
    <dataField name="Sum of delta workers" fld="13" baseField="0" baseItem="0"/>
    <dataField name="Sum of Growth_%" fld="5" baseField="0" baseItem="0" numFmtId="2"/>
  </dataFields>
  <pivotTableStyleInfo name="PivotStyleLight16" showRowHeaders="1" showColHeaders="1" showRowStripes="0" showColStripes="0" showLastColumn="1"/>
  <filters count="1">
    <filter fld="1" type="valueLessThan" evalOrder="-1" id="11" iMeasureFld="0">
      <autoFilter ref="A1">
        <filterColumn colId="0">
          <customFilters>
            <customFilter operator="lessThan" val="1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E6A2B6-09AF-4495-9D08-03F3922F7C8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41" firstHeaderRow="1" firstDataRow="1" firstDataCol="1"/>
  <pivotFields count="15">
    <pivotField showAll="0"/>
    <pivotField dataField="1" showAll="0"/>
    <pivotField showAll="0">
      <items count="52">
        <item x="23"/>
        <item m="1" x="43"/>
        <item x="0"/>
        <item x="9"/>
        <item x="10"/>
        <item x="28"/>
        <item x="34"/>
        <item m="1" x="44"/>
        <item x="5"/>
        <item x="13"/>
        <item m="1" x="49"/>
        <item x="41"/>
        <item x="15"/>
        <item x="27"/>
        <item x="33"/>
        <item x="26"/>
        <item x="14"/>
        <item x="38"/>
        <item x="24"/>
        <item x="21"/>
        <item x="25"/>
        <item x="20"/>
        <item x="22"/>
        <item x="32"/>
        <item m="1" x="47"/>
        <item x="17"/>
        <item x="18"/>
        <item x="30"/>
        <item x="35"/>
        <item x="31"/>
        <item x="6"/>
        <item x="3"/>
        <item x="29"/>
        <item x="12"/>
        <item x="8"/>
        <item x="42"/>
        <item x="40"/>
        <item x="4"/>
        <item x="39"/>
        <item m="1" x="50"/>
        <item x="37"/>
        <item m="1" x="45"/>
        <item x="1"/>
        <item x="2"/>
        <item x="16"/>
        <item x="7"/>
        <item m="1" x="48"/>
        <item x="11"/>
        <item x="19"/>
        <item m="1" x="46"/>
        <item x="36"/>
        <item t="default"/>
      </items>
    </pivotField>
    <pivotField showAll="0">
      <items count="44">
        <item x="23"/>
        <item x="0"/>
        <item x="9"/>
        <item x="10"/>
        <item x="28"/>
        <item x="34"/>
        <item x="5"/>
        <item x="13"/>
        <item x="15"/>
        <item x="27"/>
        <item x="33"/>
        <item x="41"/>
        <item x="26"/>
        <item x="14"/>
        <item x="38"/>
        <item x="25"/>
        <item x="21"/>
        <item x="24"/>
        <item x="20"/>
        <item x="22"/>
        <item x="32"/>
        <item x="17"/>
        <item x="35"/>
        <item x="29"/>
        <item x="31"/>
        <item x="6"/>
        <item x="3"/>
        <item x="12"/>
        <item x="18"/>
        <item x="30"/>
        <item x="8"/>
        <item x="42"/>
        <item x="40"/>
        <item x="4"/>
        <item x="39"/>
        <item x="37"/>
        <item x="1"/>
        <item x="2"/>
        <item x="16"/>
        <item x="7"/>
        <item x="11"/>
        <item x="19"/>
        <item x="36"/>
        <item t="default"/>
      </items>
    </pivotField>
    <pivotField numFmtId="165" showAll="0"/>
    <pivotField numFmtId="2" showAll="0"/>
    <pivotField axis="axisRow" showAll="0" measureFilter="1" sortType="descending">
      <items count="28">
        <item x="0"/>
        <item x="23"/>
        <item x="8"/>
        <item x="15"/>
        <item x="3"/>
        <item x="24"/>
        <item x="10"/>
        <item x="25"/>
        <item x="21"/>
        <item x="7"/>
        <item x="2"/>
        <item x="11"/>
        <item x="5"/>
        <item x="20"/>
        <item x="22"/>
        <item x="19"/>
        <item m="1" x="26"/>
        <item x="16"/>
        <item x="1"/>
        <item x="13"/>
        <item x="14"/>
        <item x="12"/>
        <item x="4"/>
        <item x="18"/>
        <item x="9"/>
        <item x="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11">
    <i>
      <x v="24"/>
    </i>
    <i>
      <x/>
    </i>
    <i>
      <x v="4"/>
    </i>
    <i>
      <x v="12"/>
    </i>
    <i>
      <x v="11"/>
    </i>
    <i>
      <x v="1"/>
    </i>
    <i>
      <x v="18"/>
    </i>
    <i>
      <x v="22"/>
    </i>
    <i>
      <x v="3"/>
    </i>
    <i>
      <x v="15"/>
    </i>
    <i t="grand">
      <x/>
    </i>
  </rowItems>
  <colItems count="1">
    <i/>
  </colItems>
  <dataFields count="1">
    <dataField name="Count of Name" fld="1"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0F681F-B1D0-4BFC-B97A-40F3F5AB34E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4" firstHeaderRow="1" firstDataRow="1" firstDataCol="1"/>
  <pivotFields count="15">
    <pivotField showAll="0"/>
    <pivotField showAll="0"/>
    <pivotField showAll="0" measureFilter="1">
      <items count="52">
        <item x="23"/>
        <item m="1" x="43"/>
        <item x="0"/>
        <item x="9"/>
        <item x="10"/>
        <item x="28"/>
        <item x="34"/>
        <item m="1" x="44"/>
        <item x="5"/>
        <item x="13"/>
        <item m="1" x="49"/>
        <item x="41"/>
        <item x="15"/>
        <item x="27"/>
        <item x="33"/>
        <item x="26"/>
        <item x="14"/>
        <item x="38"/>
        <item x="24"/>
        <item x="21"/>
        <item x="25"/>
        <item x="20"/>
        <item x="22"/>
        <item x="32"/>
        <item m="1" x="47"/>
        <item x="17"/>
        <item x="18"/>
        <item x="30"/>
        <item x="35"/>
        <item x="31"/>
        <item x="6"/>
        <item x="3"/>
        <item x="29"/>
        <item x="12"/>
        <item x="8"/>
        <item x="42"/>
        <item x="40"/>
        <item x="4"/>
        <item x="39"/>
        <item m="1" x="50"/>
        <item x="37"/>
        <item m="1" x="45"/>
        <item x="1"/>
        <item x="2"/>
        <item x="16"/>
        <item x="7"/>
        <item m="1" x="48"/>
        <item x="11"/>
        <item x="19"/>
        <item m="1" x="46"/>
        <item x="36"/>
        <item t="default"/>
      </items>
    </pivotField>
    <pivotField axis="axisRow" showAll="0" measureFilter="1" sortType="descending">
      <items count="44">
        <item x="36"/>
        <item x="19"/>
        <item x="11"/>
        <item x="7"/>
        <item x="16"/>
        <item x="2"/>
        <item x="1"/>
        <item x="37"/>
        <item x="39"/>
        <item x="4"/>
        <item x="40"/>
        <item x="42"/>
        <item x="8"/>
        <item x="30"/>
        <item x="18"/>
        <item x="12"/>
        <item x="3"/>
        <item x="6"/>
        <item x="31"/>
        <item x="29"/>
        <item x="35"/>
        <item x="17"/>
        <item x="32"/>
        <item x="22"/>
        <item x="20"/>
        <item x="24"/>
        <item x="21"/>
        <item x="25"/>
        <item x="38"/>
        <item x="14"/>
        <item x="26"/>
        <item x="41"/>
        <item x="33"/>
        <item x="27"/>
        <item x="15"/>
        <item x="13"/>
        <item x="5"/>
        <item x="34"/>
        <item x="28"/>
        <item x="10"/>
        <item x="9"/>
        <item x="0"/>
        <item x="23"/>
        <item t="default"/>
      </items>
      <autoSortScope>
        <pivotArea dataOnly="0" outline="0" fieldPosition="0">
          <references count="1">
            <reference field="4294967294" count="1" selected="0">
              <x v="0"/>
            </reference>
          </references>
        </pivotArea>
      </autoSortScope>
    </pivotField>
    <pivotField numFmtId="165" showAll="0"/>
    <pivotField dataField="1" numFmtId="2" showAll="0"/>
    <pivotField showAll="0" measureFilter="1" sortType="descending">
      <items count="28">
        <item x="0"/>
        <item x="23"/>
        <item x="8"/>
        <item x="15"/>
        <item x="3"/>
        <item x="24"/>
        <item x="10"/>
        <item x="25"/>
        <item x="21"/>
        <item x="7"/>
        <item x="2"/>
        <item x="11"/>
        <item x="5"/>
        <item x="20"/>
        <item x="22"/>
        <item x="19"/>
        <item m="1" x="26"/>
        <item x="16"/>
        <item x="1"/>
        <item x="13"/>
        <item x="14"/>
        <item x="12"/>
        <item x="4"/>
        <item x="18"/>
        <item x="9"/>
        <item x="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11">
    <i>
      <x v="16"/>
    </i>
    <i>
      <x v="6"/>
    </i>
    <i>
      <x v="41"/>
    </i>
    <i>
      <x v="21"/>
    </i>
    <i>
      <x v="29"/>
    </i>
    <i>
      <x v="34"/>
    </i>
    <i>
      <x v="9"/>
    </i>
    <i>
      <x v="12"/>
    </i>
    <i>
      <x v="17"/>
    </i>
    <i>
      <x v="2"/>
    </i>
    <i t="grand">
      <x/>
    </i>
  </rowItems>
  <colItems count="1">
    <i/>
  </colItems>
  <dataFields count="1">
    <dataField name="Average of Growth_%" fld="5" subtotal="average" baseField="5" baseItem="0" numFmtId="2"/>
  </dataFields>
  <chartFormats count="3">
    <chartFormat chart="1"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6" type="count" evalOrder="-1" id="13" iMeasureFld="0">
      <autoFilter ref="A1">
        <filterColumn colId="0">
          <top10 val="10" filterVal="10"/>
        </filterColumn>
      </autoFilter>
    </filter>
    <filter fld="2" type="count" evalOrder="-1" id="14" iMeasureFld="0">
      <autoFilter ref="A1">
        <filterColumn colId="0">
          <top10 val="10" filterVal="10"/>
        </filterColumn>
      </autoFilter>
    </filter>
    <filter fld="3" type="count" evalOrder="-1" id="1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7CC8D84-4158-4357-AFF2-8B73C620AE9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5">
    <pivotField showAll="0"/>
    <pivotField showAll="0"/>
    <pivotField showAll="0"/>
    <pivotField showAll="0">
      <items count="44">
        <item x="23"/>
        <item x="0"/>
        <item x="9"/>
        <item x="10"/>
        <item x="28"/>
        <item x="34"/>
        <item x="5"/>
        <item x="13"/>
        <item x="15"/>
        <item x="27"/>
        <item x="33"/>
        <item x="41"/>
        <item x="26"/>
        <item x="14"/>
        <item x="38"/>
        <item x="25"/>
        <item x="21"/>
        <item x="24"/>
        <item x="20"/>
        <item x="22"/>
        <item x="32"/>
        <item x="17"/>
        <item x="35"/>
        <item x="29"/>
        <item x="31"/>
        <item x="6"/>
        <item x="3"/>
        <item x="12"/>
        <item x="18"/>
        <item x="30"/>
        <item x="8"/>
        <item x="42"/>
        <item x="40"/>
        <item x="4"/>
        <item x="39"/>
        <item x="37"/>
        <item x="1"/>
        <item x="2"/>
        <item x="16"/>
        <item x="7"/>
        <item x="11"/>
        <item x="19"/>
        <item x="36"/>
        <item t="default"/>
      </items>
    </pivotField>
    <pivotField dataField="1" numFmtId="165" showAll="0"/>
    <pivotField numFmtId="2" showAll="0"/>
    <pivotField axis="axisRow" showAll="0" measureFilter="1" sortType="descending">
      <items count="28">
        <item x="0"/>
        <item x="23"/>
        <item x="8"/>
        <item x="15"/>
        <item x="3"/>
        <item x="24"/>
        <item x="10"/>
        <item x="25"/>
        <item x="21"/>
        <item x="7"/>
        <item x="2"/>
        <item x="11"/>
        <item x="5"/>
        <item x="20"/>
        <item x="22"/>
        <item x="19"/>
        <item m="1" x="26"/>
        <item x="16"/>
        <item x="1"/>
        <item x="13"/>
        <item x="14"/>
        <item x="12"/>
        <item x="4"/>
        <item x="18"/>
        <item x="9"/>
        <item x="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11">
    <i>
      <x v="12"/>
    </i>
    <i>
      <x v="21"/>
    </i>
    <i>
      <x v="6"/>
    </i>
    <i>
      <x v="18"/>
    </i>
    <i>
      <x v="11"/>
    </i>
    <i>
      <x v="9"/>
    </i>
    <i>
      <x v="4"/>
    </i>
    <i>
      <x v="14"/>
    </i>
    <i>
      <x v="8"/>
    </i>
    <i>
      <x/>
    </i>
    <i t="grand">
      <x/>
    </i>
  </rowItems>
  <colItems count="1">
    <i/>
  </colItems>
  <dataFields count="1">
    <dataField name="Average of Revenue" fld="4" subtotal="average" baseField="1" baseItem="27"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58A245-3CA5-499B-A49C-7FBCB11BF953}" autoFormatId="16" applyNumberFormats="0" applyBorderFormats="0" applyFontFormats="0" applyPatternFormats="0" applyAlignmentFormats="0" applyWidthHeightFormats="0">
  <queryTableRefresh nextId="15">
    <queryTableFields count="12">
      <queryTableField id="1" name="rank" tableColumnId="1"/>
      <queryTableField id="2" name="name" tableColumnId="2"/>
      <queryTableField id="3" name="state" tableColumnId="3"/>
      <queryTableField id="14" dataBound="0" tableColumnId="14"/>
      <queryTableField id="4" name="revenue" tableColumnId="4"/>
      <queryTableField id="5" name="growth_%" tableColumnId="5"/>
      <queryTableField id="6" name="industry" tableColumnId="6"/>
      <queryTableField id="7" name="workers" tableColumnId="7"/>
      <queryTableField id="8" name="previous_workers" tableColumnId="8"/>
      <queryTableField id="9" name="founded" tableColumnId="9"/>
      <queryTableField id="10" name="yrs_on_list" tableColumnId="10"/>
      <queryTableField id="12" name="city" tableColumnId="12"/>
    </queryTableFields>
    <queryTableDeletedFields count="2">
      <deletedField name="revenue (mln)"/>
      <deletedField name="metro"/>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86A783B3-394D-4C4B-A736-CFD90A25157E}" sourceName="Industry">
  <pivotTables>
    <pivotTable tabId="14" name="PivotTable16"/>
    <pivotTable tabId="14" name="PivotTable14"/>
    <pivotTable tabId="14" name="PivotTable15"/>
  </pivotTables>
  <data>
    <tabular pivotCacheId="1320799838">
      <items count="27">
        <i x="0" s="1"/>
        <i x="23" s="1"/>
        <i x="8" s="1"/>
        <i x="15" s="1"/>
        <i x="3" s="1"/>
        <i x="24" s="1"/>
        <i x="10" s="1"/>
        <i x="25" s="1"/>
        <i x="21" s="1"/>
        <i x="7" s="1"/>
        <i x="2" s="1"/>
        <i x="11" s="1"/>
        <i x="5" s="1"/>
        <i x="20" s="1"/>
        <i x="22" s="1"/>
        <i x="19" s="1"/>
        <i x="16" s="1"/>
        <i x="1" s="1"/>
        <i x="13" s="1"/>
        <i x="14" s="1"/>
        <i x="12" s="1"/>
        <i x="4" s="1"/>
        <i x="18" s="1"/>
        <i x="9" s="1"/>
        <i x="6" s="1"/>
        <i x="17" s="1"/>
        <i x="2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State_Name" xr10:uid="{247E5B5D-D208-40AA-A981-D4E5F3BB6718}" sourceName="Full State Name">
  <pivotTables>
    <pivotTable tabId="14" name="PivotTable15"/>
    <pivotTable tabId="14" name="PivotTable14"/>
    <pivotTable tabId="14" name="PivotTable16"/>
  </pivotTables>
  <data>
    <tabular pivotCacheId="1320799838">
      <items count="43">
        <i x="23" s="1"/>
        <i x="0" s="1"/>
        <i x="9" s="1"/>
        <i x="10" s="1"/>
        <i x="28" s="1"/>
        <i x="34" s="1"/>
        <i x="5" s="1"/>
        <i x="13" s="1"/>
        <i x="15" s="1"/>
        <i x="27" s="1"/>
        <i x="33" s="1"/>
        <i x="41" s="1"/>
        <i x="26" s="1"/>
        <i x="14" s="1"/>
        <i x="38" s="1"/>
        <i x="25" s="1"/>
        <i x="21" s="1"/>
        <i x="24" s="1"/>
        <i x="20" s="1"/>
        <i x="22" s="1"/>
        <i x="32" s="1"/>
        <i x="17" s="1"/>
        <i x="35" s="1"/>
        <i x="29" s="1"/>
        <i x="31" s="1"/>
        <i x="6" s="1"/>
        <i x="3" s="1"/>
        <i x="12" s="1"/>
        <i x="18" s="1"/>
        <i x="30" s="1"/>
        <i x="8" s="1"/>
        <i x="42" s="1"/>
        <i x="40" s="1"/>
        <i x="4" s="1"/>
        <i x="39" s="1"/>
        <i x="37" s="1"/>
        <i x="1" s="1"/>
        <i x="2" s="1"/>
        <i x="16" s="1"/>
        <i x="7" s="1"/>
        <i x="11" s="1"/>
        <i x="19" s="1"/>
        <i x="3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C14F9F7-E1E3-4427-A855-7E86232674A1}" cache="Slicer_Industry" caption="Industry" rowHeight="257175"/>
  <slicer name="Full State Name" xr10:uid="{5F9EFA4F-0C81-4530-8C6C-191564394002}" cache="Slicer_Full_State_Name" caption="Full State Nam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6AB24-6EE6-4421-B406-EEA65EA4C09C}" name="tb_companies" displayName="tb_companies" ref="A1:L604" tableType="queryTable" totalsRowShown="0">
  <autoFilter ref="A1:L604" xr:uid="{BB36AB24-6EE6-4421-B406-EEA65EA4C09C}"/>
  <tableColumns count="12">
    <tableColumn id="1" xr3:uid="{2FDC1CC8-6011-4511-A463-4285C02C6601}" uniqueName="1" name="rank" queryTableFieldId="1"/>
    <tableColumn id="2" xr3:uid="{58660B54-661A-46FB-A977-853DC6396F39}" uniqueName="2" name="Name" queryTableFieldId="2" dataDxfId="8"/>
    <tableColumn id="3" xr3:uid="{6D102E7D-4AC2-4979-AD1D-7024C31070ED}" uniqueName="3" name="State" queryTableFieldId="3" dataDxfId="7"/>
    <tableColumn id="14" xr3:uid="{B2D7DF88-CB39-419D-A745-C0AD6D7D35E3}" uniqueName="14" name="Full State Name" queryTableFieldId="14" dataDxfId="6"/>
    <tableColumn id="4" xr3:uid="{39A739D5-94C8-4FEA-8073-E4A9CB4F645E}" uniqueName="4" name="Revenue" queryTableFieldId="4" dataDxfId="5"/>
    <tableColumn id="5" xr3:uid="{97868260-6137-445F-BDAF-22325847F27D}" uniqueName="5" name="Growth_%" queryTableFieldId="5" dataDxfId="4"/>
    <tableColumn id="6" xr3:uid="{C0A003B7-BBAC-41B3-AD9C-3D9252AC64AB}" uniqueName="6" name="Industry" queryTableFieldId="6" dataDxfId="3"/>
    <tableColumn id="7" xr3:uid="{F7296FD6-82D9-4054-93AB-13F7521CA34B}" uniqueName="7" name="Workers" queryTableFieldId="7"/>
    <tableColumn id="8" xr3:uid="{E6A3F7E8-293A-4D43-89F3-EC72ADD6D7CE}" uniqueName="8" name="Previous_workers" queryTableFieldId="8"/>
    <tableColumn id="9" xr3:uid="{CADCEC47-0528-4155-B23C-B176D8EB3EBE}" uniqueName="9" name="Founded" queryTableFieldId="9"/>
    <tableColumn id="10" xr3:uid="{304414B3-2C85-42F9-B222-A1C72BEE076D}" uniqueName="10" name="Years_on_list" queryTableFieldId="10"/>
    <tableColumn id="12" xr3:uid="{78A2E4BC-7685-4A8E-AA4B-FBFA9D72C546}" uniqueName="12" name="City" queryTableFieldId="12"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microsoft.com/office/2007/relationships/slicer" Target="../slicers/slicer1.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4CFD-A275-4062-9502-4769951EB431}">
  <dimension ref="A1:L604"/>
  <sheetViews>
    <sheetView workbookViewId="0">
      <selection activeCell="D2" sqref="D2"/>
    </sheetView>
  </sheetViews>
  <sheetFormatPr defaultRowHeight="15" x14ac:dyDescent="0.25"/>
  <cols>
    <col min="1" max="1" width="7.140625" bestFit="1" customWidth="1"/>
    <col min="2" max="2" width="56.42578125" bestFit="1" customWidth="1"/>
    <col min="3" max="3" width="7.85546875" bestFit="1" customWidth="1"/>
    <col min="4" max="4" width="9.85546875" customWidth="1"/>
    <col min="5" max="5" width="17" style="2" bestFit="1" customWidth="1"/>
    <col min="6" max="6" width="11.85546875" bestFit="1" customWidth="1"/>
    <col min="7" max="7" width="28.140625" bestFit="1" customWidth="1"/>
    <col min="8" max="8" width="10.42578125" bestFit="1" customWidth="1"/>
    <col min="9" max="9" width="19.28515625" bestFit="1" customWidth="1"/>
    <col min="10" max="10" width="10.85546875" bestFit="1" customWidth="1"/>
    <col min="11" max="11" width="12.85546875" bestFit="1" customWidth="1"/>
    <col min="12" max="12" width="20.28515625" bestFit="1" customWidth="1"/>
  </cols>
  <sheetData>
    <row r="1" spans="1:12" x14ac:dyDescent="0.25">
      <c r="A1" t="s">
        <v>0</v>
      </c>
      <c r="B1" t="s">
        <v>1016</v>
      </c>
      <c r="C1" t="s">
        <v>1017</v>
      </c>
      <c r="D1" t="s">
        <v>1085</v>
      </c>
      <c r="E1" s="2" t="s">
        <v>1018</v>
      </c>
      <c r="F1" t="s">
        <v>1019</v>
      </c>
      <c r="G1" t="s">
        <v>1020</v>
      </c>
      <c r="H1" t="s">
        <v>1021</v>
      </c>
      <c r="I1" t="s">
        <v>1022</v>
      </c>
      <c r="J1" t="s">
        <v>1023</v>
      </c>
      <c r="K1" t="s">
        <v>1015</v>
      </c>
      <c r="L1" t="s">
        <v>1024</v>
      </c>
    </row>
    <row r="2" spans="1:12" x14ac:dyDescent="0.25">
      <c r="A2">
        <v>1</v>
      </c>
      <c r="B2" t="s">
        <v>1</v>
      </c>
      <c r="C2" t="s">
        <v>2</v>
      </c>
      <c r="D2" t="s">
        <v>1048</v>
      </c>
      <c r="E2" s="2">
        <v>36900000</v>
      </c>
      <c r="F2" s="3">
        <v>36680.388200000001</v>
      </c>
      <c r="G2" t="s">
        <v>3</v>
      </c>
      <c r="H2">
        <v>40</v>
      </c>
      <c r="I2">
        <v>5</v>
      </c>
      <c r="J2">
        <v>2015</v>
      </c>
      <c r="K2">
        <v>1</v>
      </c>
      <c r="L2" t="s">
        <v>4</v>
      </c>
    </row>
    <row r="3" spans="1:12" x14ac:dyDescent="0.25">
      <c r="A3">
        <v>2</v>
      </c>
      <c r="B3" t="s">
        <v>5</v>
      </c>
      <c r="C3" t="s">
        <v>6</v>
      </c>
      <c r="D3" t="s">
        <v>1049</v>
      </c>
      <c r="E3" s="2">
        <v>33600000</v>
      </c>
      <c r="F3" s="3">
        <v>30547.931700000001</v>
      </c>
      <c r="G3" t="s">
        <v>7</v>
      </c>
      <c r="H3">
        <v>39</v>
      </c>
      <c r="I3">
        <v>8</v>
      </c>
      <c r="J3">
        <v>2015</v>
      </c>
      <c r="K3">
        <v>1</v>
      </c>
      <c r="L3" t="s">
        <v>9</v>
      </c>
    </row>
    <row r="4" spans="1:12" x14ac:dyDescent="0.25">
      <c r="A4">
        <v>3</v>
      </c>
      <c r="B4" t="s">
        <v>10</v>
      </c>
      <c r="C4" t="s">
        <v>11</v>
      </c>
      <c r="D4" t="s">
        <v>1050</v>
      </c>
      <c r="E4" s="2">
        <v>24900000</v>
      </c>
      <c r="F4" s="3">
        <v>23880.485199999999</v>
      </c>
      <c r="G4" t="s">
        <v>12</v>
      </c>
      <c r="H4">
        <v>190</v>
      </c>
      <c r="I4">
        <v>10</v>
      </c>
      <c r="J4">
        <v>2015</v>
      </c>
      <c r="K4">
        <v>1</v>
      </c>
      <c r="L4" t="s">
        <v>13</v>
      </c>
    </row>
    <row r="5" spans="1:12" x14ac:dyDescent="0.25">
      <c r="A5">
        <v>4</v>
      </c>
      <c r="B5" t="s">
        <v>14</v>
      </c>
      <c r="C5" t="s">
        <v>15</v>
      </c>
      <c r="D5" t="s">
        <v>1051</v>
      </c>
      <c r="E5" s="2">
        <v>32400000</v>
      </c>
      <c r="F5" s="3">
        <v>21849.892500000002</v>
      </c>
      <c r="G5" t="s">
        <v>16</v>
      </c>
      <c r="H5">
        <v>57</v>
      </c>
      <c r="I5">
        <v>2</v>
      </c>
      <c r="J5">
        <v>2014</v>
      </c>
      <c r="K5">
        <v>1</v>
      </c>
      <c r="L5" t="s">
        <v>17</v>
      </c>
    </row>
    <row r="6" spans="1:12" x14ac:dyDescent="0.25">
      <c r="A6">
        <v>5</v>
      </c>
      <c r="B6" t="s">
        <v>18</v>
      </c>
      <c r="C6" t="s">
        <v>19</v>
      </c>
      <c r="D6" t="s">
        <v>1052</v>
      </c>
      <c r="E6" s="2">
        <v>22500000</v>
      </c>
      <c r="F6" s="3">
        <v>18166.406999999999</v>
      </c>
      <c r="G6" t="s">
        <v>20</v>
      </c>
      <c r="H6">
        <v>25</v>
      </c>
      <c r="I6">
        <v>6</v>
      </c>
      <c r="J6">
        <v>2014</v>
      </c>
      <c r="K6">
        <v>1</v>
      </c>
      <c r="L6" t="s">
        <v>21</v>
      </c>
    </row>
    <row r="7" spans="1:12" x14ac:dyDescent="0.25">
      <c r="A7">
        <v>6</v>
      </c>
      <c r="B7" t="s">
        <v>22</v>
      </c>
      <c r="C7" t="s">
        <v>23</v>
      </c>
      <c r="D7" t="s">
        <v>321</v>
      </c>
      <c r="E7" s="2">
        <v>271800000</v>
      </c>
      <c r="F7" s="3">
        <v>14183.4118</v>
      </c>
      <c r="G7" t="s">
        <v>24</v>
      </c>
      <c r="H7">
        <v>742</v>
      </c>
      <c r="I7">
        <v>18</v>
      </c>
      <c r="J7">
        <v>2009</v>
      </c>
      <c r="K7">
        <v>1</v>
      </c>
      <c r="L7" t="s">
        <v>25</v>
      </c>
    </row>
    <row r="8" spans="1:12" x14ac:dyDescent="0.25">
      <c r="A8">
        <v>7</v>
      </c>
      <c r="B8" t="s">
        <v>26</v>
      </c>
      <c r="C8" t="s">
        <v>27</v>
      </c>
      <c r="D8" t="s">
        <v>1053</v>
      </c>
      <c r="E8" s="2">
        <v>20500000</v>
      </c>
      <c r="F8" s="3">
        <v>13480.731</v>
      </c>
      <c r="G8" t="s">
        <v>16</v>
      </c>
      <c r="H8">
        <v>12</v>
      </c>
      <c r="I8">
        <v>1</v>
      </c>
      <c r="J8">
        <v>2014</v>
      </c>
      <c r="K8">
        <v>1</v>
      </c>
      <c r="L8" t="s">
        <v>29</v>
      </c>
    </row>
    <row r="9" spans="1:12" x14ac:dyDescent="0.25">
      <c r="A9">
        <v>8</v>
      </c>
      <c r="B9" t="s">
        <v>30</v>
      </c>
      <c r="C9" t="s">
        <v>31</v>
      </c>
      <c r="D9" t="s">
        <v>1054</v>
      </c>
      <c r="E9" s="2">
        <v>23300000</v>
      </c>
      <c r="F9" s="3">
        <v>12700.658799999999</v>
      </c>
      <c r="G9" t="s">
        <v>32</v>
      </c>
      <c r="H9">
        <v>72</v>
      </c>
      <c r="I9">
        <v>1</v>
      </c>
      <c r="J9">
        <v>2015</v>
      </c>
      <c r="K9">
        <v>1</v>
      </c>
      <c r="L9" t="s">
        <v>33</v>
      </c>
    </row>
    <row r="10" spans="1:12" x14ac:dyDescent="0.25">
      <c r="A10">
        <v>9</v>
      </c>
      <c r="B10" t="s">
        <v>34</v>
      </c>
      <c r="C10" t="s">
        <v>35</v>
      </c>
      <c r="D10" t="s">
        <v>1055</v>
      </c>
      <c r="E10" s="2">
        <v>225900000</v>
      </c>
      <c r="F10" s="3">
        <v>12564.536400000001</v>
      </c>
      <c r="G10" t="s">
        <v>24</v>
      </c>
      <c r="H10">
        <v>60</v>
      </c>
      <c r="I10">
        <v>10</v>
      </c>
      <c r="J10">
        <v>2008</v>
      </c>
      <c r="K10">
        <v>1</v>
      </c>
      <c r="L10" t="s">
        <v>36</v>
      </c>
    </row>
    <row r="11" spans="1:12" x14ac:dyDescent="0.25">
      <c r="A11">
        <v>10</v>
      </c>
      <c r="B11" t="s">
        <v>37</v>
      </c>
      <c r="C11" t="s">
        <v>38</v>
      </c>
      <c r="D11" t="s">
        <v>1013</v>
      </c>
      <c r="E11" s="2">
        <v>21400000</v>
      </c>
      <c r="F11" s="3">
        <v>11996.296399999999</v>
      </c>
      <c r="G11" t="s">
        <v>3</v>
      </c>
      <c r="H11">
        <v>37</v>
      </c>
      <c r="I11">
        <v>5</v>
      </c>
      <c r="J11">
        <v>2014</v>
      </c>
      <c r="K11">
        <v>1</v>
      </c>
      <c r="L11" t="s">
        <v>39</v>
      </c>
    </row>
    <row r="12" spans="1:12" x14ac:dyDescent="0.25">
      <c r="A12">
        <v>11</v>
      </c>
      <c r="B12" t="s">
        <v>40</v>
      </c>
      <c r="C12" t="s">
        <v>41</v>
      </c>
      <c r="D12" t="s">
        <v>1056</v>
      </c>
      <c r="E12" s="2">
        <v>13900000</v>
      </c>
      <c r="F12" s="3">
        <v>11949.179</v>
      </c>
      <c r="G12" t="s">
        <v>16</v>
      </c>
      <c r="H12">
        <v>40</v>
      </c>
      <c r="I12">
        <v>2</v>
      </c>
      <c r="J12">
        <v>2014</v>
      </c>
      <c r="K12">
        <v>1</v>
      </c>
      <c r="L12" t="s">
        <v>42</v>
      </c>
    </row>
    <row r="13" spans="1:12" x14ac:dyDescent="0.25">
      <c r="A13">
        <v>12</v>
      </c>
      <c r="B13" t="s">
        <v>43</v>
      </c>
      <c r="C13" t="s">
        <v>31</v>
      </c>
      <c r="D13" t="s">
        <v>1054</v>
      </c>
      <c r="E13" s="2">
        <v>30300000</v>
      </c>
      <c r="F13" s="3">
        <v>11632.8771</v>
      </c>
      <c r="G13" t="s">
        <v>7</v>
      </c>
      <c r="H13">
        <v>226</v>
      </c>
      <c r="I13">
        <v>18</v>
      </c>
      <c r="J13">
        <v>2013</v>
      </c>
      <c r="K13">
        <v>1</v>
      </c>
      <c r="L13" t="s">
        <v>44</v>
      </c>
    </row>
    <row r="14" spans="1:12" x14ac:dyDescent="0.25">
      <c r="A14">
        <v>13</v>
      </c>
      <c r="B14" t="s">
        <v>45</v>
      </c>
      <c r="C14" t="s">
        <v>46</v>
      </c>
      <c r="D14" t="s">
        <v>397</v>
      </c>
      <c r="E14" s="2">
        <v>19100000</v>
      </c>
      <c r="F14" s="3">
        <v>11622.5291</v>
      </c>
      <c r="G14" t="s">
        <v>12</v>
      </c>
      <c r="H14">
        <v>23</v>
      </c>
      <c r="I14">
        <v>3</v>
      </c>
      <c r="J14">
        <v>2013</v>
      </c>
      <c r="K14">
        <v>1</v>
      </c>
      <c r="L14" t="s">
        <v>48</v>
      </c>
    </row>
    <row r="15" spans="1:12" x14ac:dyDescent="0.25">
      <c r="A15">
        <v>14</v>
      </c>
      <c r="B15" t="s">
        <v>49</v>
      </c>
      <c r="C15" t="s">
        <v>50</v>
      </c>
      <c r="D15" t="s">
        <v>52</v>
      </c>
      <c r="E15" s="2">
        <v>19100000</v>
      </c>
      <c r="F15" s="3">
        <v>10561.7147</v>
      </c>
      <c r="G15" t="s">
        <v>51</v>
      </c>
      <c r="H15">
        <v>66</v>
      </c>
      <c r="I15">
        <v>10</v>
      </c>
      <c r="J15">
        <v>2015</v>
      </c>
      <c r="K15">
        <v>1</v>
      </c>
      <c r="L15" t="s">
        <v>52</v>
      </c>
    </row>
    <row r="16" spans="1:12" x14ac:dyDescent="0.25">
      <c r="A16">
        <v>15</v>
      </c>
      <c r="B16" t="s">
        <v>53</v>
      </c>
      <c r="C16" t="s">
        <v>38</v>
      </c>
      <c r="D16" t="s">
        <v>1013</v>
      </c>
      <c r="E16" s="2">
        <v>17300000</v>
      </c>
      <c r="F16" s="3">
        <v>10175.755300000001</v>
      </c>
      <c r="G16" t="s">
        <v>3</v>
      </c>
      <c r="H16">
        <v>109</v>
      </c>
      <c r="I16">
        <v>8</v>
      </c>
      <c r="J16">
        <v>2014</v>
      </c>
      <c r="K16">
        <v>3</v>
      </c>
      <c r="L16" t="s">
        <v>39</v>
      </c>
    </row>
    <row r="17" spans="1:12" x14ac:dyDescent="0.25">
      <c r="A17">
        <v>16</v>
      </c>
      <c r="B17" t="s">
        <v>54</v>
      </c>
      <c r="C17" t="s">
        <v>50</v>
      </c>
      <c r="D17" t="s">
        <v>52</v>
      </c>
      <c r="E17" s="2">
        <v>10700000</v>
      </c>
      <c r="F17" s="3">
        <v>9753.2009999999991</v>
      </c>
      <c r="G17" t="s">
        <v>3</v>
      </c>
      <c r="H17">
        <v>110</v>
      </c>
      <c r="I17">
        <v>3</v>
      </c>
      <c r="J17">
        <v>2015</v>
      </c>
      <c r="K17">
        <v>1</v>
      </c>
      <c r="L17" t="s">
        <v>52</v>
      </c>
    </row>
    <row r="18" spans="1:12" x14ac:dyDescent="0.25">
      <c r="A18">
        <v>17</v>
      </c>
      <c r="B18" t="s">
        <v>55</v>
      </c>
      <c r="C18" t="s">
        <v>56</v>
      </c>
      <c r="D18" t="s">
        <v>1057</v>
      </c>
      <c r="E18" s="2">
        <v>105800000</v>
      </c>
      <c r="F18" s="3">
        <v>9265.2405999999992</v>
      </c>
      <c r="G18" t="s">
        <v>51</v>
      </c>
      <c r="H18">
        <v>190</v>
      </c>
      <c r="I18">
        <v>32</v>
      </c>
      <c r="J18">
        <v>2014</v>
      </c>
      <c r="K18">
        <v>1</v>
      </c>
      <c r="L18" t="s">
        <v>58</v>
      </c>
    </row>
    <row r="19" spans="1:12" x14ac:dyDescent="0.25">
      <c r="A19">
        <v>18</v>
      </c>
      <c r="B19" t="s">
        <v>59</v>
      </c>
      <c r="C19" t="s">
        <v>50</v>
      </c>
      <c r="D19" t="s">
        <v>52</v>
      </c>
      <c r="E19" s="2">
        <v>19000000</v>
      </c>
      <c r="F19" s="3">
        <v>9179.3318999999992</v>
      </c>
      <c r="G19" t="s">
        <v>16</v>
      </c>
      <c r="H19">
        <v>14</v>
      </c>
      <c r="I19">
        <v>2</v>
      </c>
      <c r="J19">
        <v>2013</v>
      </c>
      <c r="K19">
        <v>1</v>
      </c>
      <c r="L19" t="s">
        <v>52</v>
      </c>
    </row>
    <row r="20" spans="1:12" x14ac:dyDescent="0.25">
      <c r="A20">
        <v>19</v>
      </c>
      <c r="B20" t="s">
        <v>60</v>
      </c>
      <c r="C20" t="s">
        <v>38</v>
      </c>
      <c r="D20" t="s">
        <v>1013</v>
      </c>
      <c r="E20" s="2">
        <v>24400000</v>
      </c>
      <c r="F20" s="3">
        <v>8656.9531999999999</v>
      </c>
      <c r="G20" t="s">
        <v>24</v>
      </c>
      <c r="H20">
        <v>191</v>
      </c>
      <c r="I20">
        <v>66</v>
      </c>
      <c r="J20">
        <v>2006</v>
      </c>
      <c r="K20">
        <v>1</v>
      </c>
      <c r="L20" t="s">
        <v>61</v>
      </c>
    </row>
    <row r="21" spans="1:12" x14ac:dyDescent="0.25">
      <c r="A21">
        <v>20</v>
      </c>
      <c r="B21" t="s">
        <v>62</v>
      </c>
      <c r="C21" t="s">
        <v>38</v>
      </c>
      <c r="D21" t="s">
        <v>1013</v>
      </c>
      <c r="E21" s="2">
        <v>9600000</v>
      </c>
      <c r="F21" s="3">
        <v>8543.9807999999994</v>
      </c>
      <c r="G21" t="s">
        <v>16</v>
      </c>
      <c r="H21">
        <v>35</v>
      </c>
      <c r="I21">
        <v>2</v>
      </c>
      <c r="J21">
        <v>2015</v>
      </c>
      <c r="K21">
        <v>1</v>
      </c>
      <c r="L21" t="s">
        <v>64</v>
      </c>
    </row>
    <row r="22" spans="1:12" x14ac:dyDescent="0.25">
      <c r="A22">
        <v>21</v>
      </c>
      <c r="B22" t="s">
        <v>65</v>
      </c>
      <c r="C22" t="s">
        <v>66</v>
      </c>
      <c r="D22" t="s">
        <v>1058</v>
      </c>
      <c r="E22" s="2">
        <v>10200000</v>
      </c>
      <c r="F22" s="3">
        <v>8327.0956000000006</v>
      </c>
      <c r="G22" t="s">
        <v>24</v>
      </c>
      <c r="H22">
        <v>45</v>
      </c>
      <c r="I22">
        <v>1</v>
      </c>
      <c r="J22">
        <v>2015</v>
      </c>
      <c r="K22">
        <v>1</v>
      </c>
      <c r="L22" t="s">
        <v>67</v>
      </c>
    </row>
    <row r="23" spans="1:12" x14ac:dyDescent="0.25">
      <c r="A23">
        <v>22</v>
      </c>
      <c r="B23" t="s">
        <v>68</v>
      </c>
      <c r="C23" t="s">
        <v>23</v>
      </c>
      <c r="D23" t="s">
        <v>321</v>
      </c>
      <c r="E23" s="2">
        <v>11900000</v>
      </c>
      <c r="F23" s="3">
        <v>8282.8667999999998</v>
      </c>
      <c r="G23" t="s">
        <v>69</v>
      </c>
      <c r="H23">
        <v>12</v>
      </c>
      <c r="I23">
        <v>2</v>
      </c>
      <c r="J23">
        <v>2014</v>
      </c>
      <c r="K23">
        <v>1</v>
      </c>
      <c r="L23" t="s">
        <v>70</v>
      </c>
    </row>
    <row r="24" spans="1:12" x14ac:dyDescent="0.25">
      <c r="A24">
        <v>23</v>
      </c>
      <c r="B24" t="s">
        <v>71</v>
      </c>
      <c r="C24" t="s">
        <v>72</v>
      </c>
      <c r="D24" t="s">
        <v>1059</v>
      </c>
      <c r="E24" s="2">
        <v>13800000</v>
      </c>
      <c r="F24" s="3">
        <v>7965.9741000000004</v>
      </c>
      <c r="G24" t="s">
        <v>73</v>
      </c>
      <c r="H24">
        <v>37</v>
      </c>
      <c r="I24">
        <v>10</v>
      </c>
      <c r="J24">
        <v>2013</v>
      </c>
      <c r="K24">
        <v>2</v>
      </c>
      <c r="L24" t="s">
        <v>74</v>
      </c>
    </row>
    <row r="25" spans="1:12" x14ac:dyDescent="0.25">
      <c r="A25">
        <v>24</v>
      </c>
      <c r="B25" t="s">
        <v>75</v>
      </c>
      <c r="C25" t="s">
        <v>38</v>
      </c>
      <c r="D25" t="s">
        <v>1013</v>
      </c>
      <c r="E25" s="2">
        <v>10500000</v>
      </c>
      <c r="F25" s="3">
        <v>7926.4243999999999</v>
      </c>
      <c r="G25" t="s">
        <v>73</v>
      </c>
      <c r="H25">
        <v>70</v>
      </c>
      <c r="I25">
        <v>5</v>
      </c>
      <c r="J25">
        <v>2015</v>
      </c>
      <c r="K25">
        <v>1</v>
      </c>
      <c r="L25" t="s">
        <v>76</v>
      </c>
    </row>
    <row r="26" spans="1:12" x14ac:dyDescent="0.25">
      <c r="A26">
        <v>25</v>
      </c>
      <c r="B26" t="s">
        <v>77</v>
      </c>
      <c r="C26" t="s">
        <v>78</v>
      </c>
      <c r="D26" t="s">
        <v>1060</v>
      </c>
      <c r="E26" s="2">
        <v>8900000</v>
      </c>
      <c r="F26" s="3">
        <v>7478.1477999999997</v>
      </c>
      <c r="G26" t="s">
        <v>73</v>
      </c>
      <c r="H26">
        <v>42</v>
      </c>
      <c r="I26">
        <v>2</v>
      </c>
      <c r="J26">
        <v>2015</v>
      </c>
      <c r="K26">
        <v>1</v>
      </c>
      <c r="L26" t="s">
        <v>79</v>
      </c>
    </row>
    <row r="27" spans="1:12" x14ac:dyDescent="0.25">
      <c r="A27">
        <v>26</v>
      </c>
      <c r="B27" t="s">
        <v>80</v>
      </c>
      <c r="C27" t="s">
        <v>11</v>
      </c>
      <c r="D27" t="s">
        <v>1050</v>
      </c>
      <c r="E27" s="2">
        <v>128199999.99999999</v>
      </c>
      <c r="F27" s="3">
        <v>7426.8072000000002</v>
      </c>
      <c r="G27" t="s">
        <v>81</v>
      </c>
      <c r="H27">
        <v>191</v>
      </c>
      <c r="I27">
        <v>14</v>
      </c>
      <c r="J27">
        <v>2015</v>
      </c>
      <c r="K27">
        <v>1</v>
      </c>
      <c r="L27" t="s">
        <v>82</v>
      </c>
    </row>
    <row r="28" spans="1:12" x14ac:dyDescent="0.25">
      <c r="A28">
        <v>27</v>
      </c>
      <c r="B28" t="s">
        <v>83</v>
      </c>
      <c r="C28" t="s">
        <v>31</v>
      </c>
      <c r="D28" t="s">
        <v>1054</v>
      </c>
      <c r="E28" s="2">
        <v>15800000</v>
      </c>
      <c r="F28" s="3">
        <v>7329.3793999999998</v>
      </c>
      <c r="G28" t="s">
        <v>84</v>
      </c>
      <c r="H28">
        <v>191</v>
      </c>
      <c r="I28">
        <v>7</v>
      </c>
      <c r="J28">
        <v>2013</v>
      </c>
      <c r="K28">
        <v>1</v>
      </c>
      <c r="L28" t="s">
        <v>85</v>
      </c>
    </row>
    <row r="29" spans="1:12" x14ac:dyDescent="0.25">
      <c r="A29">
        <v>28</v>
      </c>
      <c r="B29" t="s">
        <v>86</v>
      </c>
      <c r="C29" t="s">
        <v>72</v>
      </c>
      <c r="D29" t="s">
        <v>1059</v>
      </c>
      <c r="E29" s="2">
        <v>7800000</v>
      </c>
      <c r="F29" s="3">
        <v>7301.3353999999999</v>
      </c>
      <c r="G29" t="s">
        <v>87</v>
      </c>
      <c r="H29">
        <v>8</v>
      </c>
      <c r="I29">
        <v>1</v>
      </c>
      <c r="J29">
        <v>2014</v>
      </c>
      <c r="K29">
        <v>2</v>
      </c>
      <c r="L29" t="s">
        <v>74</v>
      </c>
    </row>
    <row r="30" spans="1:12" x14ac:dyDescent="0.25">
      <c r="A30">
        <v>29</v>
      </c>
      <c r="B30" t="s">
        <v>88</v>
      </c>
      <c r="C30" t="s">
        <v>89</v>
      </c>
      <c r="D30" t="s">
        <v>1061</v>
      </c>
      <c r="E30" s="2">
        <v>11800000</v>
      </c>
      <c r="F30" s="3">
        <v>7045.3630999999996</v>
      </c>
      <c r="G30" t="s">
        <v>73</v>
      </c>
      <c r="H30">
        <v>60</v>
      </c>
      <c r="I30">
        <v>3</v>
      </c>
      <c r="J30">
        <v>2014</v>
      </c>
      <c r="K30">
        <v>1</v>
      </c>
      <c r="L30" t="s">
        <v>90</v>
      </c>
    </row>
    <row r="31" spans="1:12" x14ac:dyDescent="0.25">
      <c r="A31">
        <v>30</v>
      </c>
      <c r="B31" t="s">
        <v>91</v>
      </c>
      <c r="C31" t="s">
        <v>23</v>
      </c>
      <c r="D31" t="s">
        <v>321</v>
      </c>
      <c r="E31" s="2">
        <v>156000000</v>
      </c>
      <c r="F31" s="3">
        <v>6900.2519000000002</v>
      </c>
      <c r="G31" t="s">
        <v>24</v>
      </c>
      <c r="H31">
        <v>37</v>
      </c>
      <c r="I31">
        <v>6</v>
      </c>
      <c r="J31">
        <v>2015</v>
      </c>
      <c r="K31">
        <v>1</v>
      </c>
      <c r="L31" t="s">
        <v>92</v>
      </c>
    </row>
    <row r="32" spans="1:12" x14ac:dyDescent="0.25">
      <c r="A32">
        <v>31</v>
      </c>
      <c r="B32" t="s">
        <v>93</v>
      </c>
      <c r="C32" t="s">
        <v>23</v>
      </c>
      <c r="D32" t="s">
        <v>321</v>
      </c>
      <c r="E32" s="2">
        <v>20400000</v>
      </c>
      <c r="F32" s="3">
        <v>6870.9856</v>
      </c>
      <c r="G32" t="s">
        <v>87</v>
      </c>
      <c r="H32">
        <v>51</v>
      </c>
      <c r="I32">
        <v>35</v>
      </c>
      <c r="J32">
        <v>2014</v>
      </c>
      <c r="K32">
        <v>2</v>
      </c>
      <c r="L32" t="s">
        <v>94</v>
      </c>
    </row>
    <row r="33" spans="1:12" x14ac:dyDescent="0.25">
      <c r="A33">
        <v>32</v>
      </c>
      <c r="B33" t="s">
        <v>95</v>
      </c>
      <c r="C33" t="s">
        <v>46</v>
      </c>
      <c r="D33" t="s">
        <v>397</v>
      </c>
      <c r="E33" s="2">
        <v>10200000</v>
      </c>
      <c r="F33" s="3">
        <v>6641.6792999999998</v>
      </c>
      <c r="G33" t="s">
        <v>16</v>
      </c>
      <c r="H33">
        <v>21</v>
      </c>
      <c r="I33">
        <v>4</v>
      </c>
      <c r="J33">
        <v>2013</v>
      </c>
      <c r="K33">
        <v>1</v>
      </c>
      <c r="L33" t="s">
        <v>47</v>
      </c>
    </row>
    <row r="34" spans="1:12" x14ac:dyDescent="0.25">
      <c r="A34">
        <v>33</v>
      </c>
      <c r="B34" t="s">
        <v>96</v>
      </c>
      <c r="C34" t="s">
        <v>6</v>
      </c>
      <c r="D34" t="s">
        <v>1049</v>
      </c>
      <c r="E34" s="2">
        <v>7200000</v>
      </c>
      <c r="F34" s="3">
        <v>6492.7884000000004</v>
      </c>
      <c r="G34" t="s">
        <v>97</v>
      </c>
      <c r="H34">
        <v>21</v>
      </c>
      <c r="I34">
        <v>3</v>
      </c>
      <c r="J34">
        <v>2013</v>
      </c>
      <c r="K34">
        <v>1</v>
      </c>
      <c r="L34" t="s">
        <v>98</v>
      </c>
    </row>
    <row r="35" spans="1:12" x14ac:dyDescent="0.25">
      <c r="A35">
        <v>34</v>
      </c>
      <c r="B35" t="s">
        <v>99</v>
      </c>
      <c r="C35" t="s">
        <v>100</v>
      </c>
      <c r="D35" t="s">
        <v>1062</v>
      </c>
      <c r="E35" s="2">
        <v>20800000</v>
      </c>
      <c r="F35" s="3">
        <v>6388.3661000000002</v>
      </c>
      <c r="G35" t="s">
        <v>101</v>
      </c>
      <c r="H35">
        <v>21</v>
      </c>
      <c r="I35">
        <v>6</v>
      </c>
      <c r="J35">
        <v>2010</v>
      </c>
      <c r="K35">
        <v>1</v>
      </c>
      <c r="L35" t="s">
        <v>102</v>
      </c>
    </row>
    <row r="36" spans="1:12" x14ac:dyDescent="0.25">
      <c r="A36">
        <v>35</v>
      </c>
      <c r="B36" t="s">
        <v>103</v>
      </c>
      <c r="C36" t="s">
        <v>104</v>
      </c>
      <c r="D36" t="s">
        <v>1063</v>
      </c>
      <c r="E36" s="2">
        <v>162600000</v>
      </c>
      <c r="F36" s="3">
        <v>6382.9368000000004</v>
      </c>
      <c r="G36" t="s">
        <v>7</v>
      </c>
      <c r="H36">
        <v>38</v>
      </c>
      <c r="I36">
        <v>13</v>
      </c>
      <c r="J36">
        <v>2013</v>
      </c>
      <c r="K36">
        <v>3</v>
      </c>
      <c r="L36" t="s">
        <v>105</v>
      </c>
    </row>
    <row r="37" spans="1:12" x14ac:dyDescent="0.25">
      <c r="A37">
        <v>36</v>
      </c>
      <c r="B37" t="s">
        <v>106</v>
      </c>
      <c r="C37" t="s">
        <v>107</v>
      </c>
      <c r="D37" t="s">
        <v>1064</v>
      </c>
      <c r="E37" s="2">
        <v>48900000</v>
      </c>
      <c r="F37" s="3">
        <v>6337.2973000000002</v>
      </c>
      <c r="G37" t="s">
        <v>108</v>
      </c>
      <c r="H37">
        <v>52</v>
      </c>
      <c r="I37">
        <v>2</v>
      </c>
      <c r="J37">
        <v>2014</v>
      </c>
      <c r="K37">
        <v>1</v>
      </c>
      <c r="L37" t="s">
        <v>109</v>
      </c>
    </row>
    <row r="38" spans="1:12" x14ac:dyDescent="0.25">
      <c r="A38">
        <v>37</v>
      </c>
      <c r="B38" t="s">
        <v>110</v>
      </c>
      <c r="C38" t="s">
        <v>41</v>
      </c>
      <c r="D38" t="s">
        <v>1056</v>
      </c>
      <c r="E38" s="2">
        <v>24000000</v>
      </c>
      <c r="F38" s="3">
        <v>6287.4646000000002</v>
      </c>
      <c r="G38" t="s">
        <v>16</v>
      </c>
      <c r="H38">
        <v>11</v>
      </c>
      <c r="I38">
        <v>5</v>
      </c>
      <c r="J38">
        <v>2013</v>
      </c>
      <c r="K38">
        <v>1</v>
      </c>
      <c r="L38" t="s">
        <v>111</v>
      </c>
    </row>
    <row r="39" spans="1:12" x14ac:dyDescent="0.25">
      <c r="A39">
        <v>38</v>
      </c>
      <c r="B39" t="s">
        <v>112</v>
      </c>
      <c r="C39" t="s">
        <v>113</v>
      </c>
      <c r="D39" t="s">
        <v>1065</v>
      </c>
      <c r="E39" s="2">
        <v>17500000</v>
      </c>
      <c r="F39" s="3">
        <v>6176.6895999999997</v>
      </c>
      <c r="G39" t="s">
        <v>87</v>
      </c>
      <c r="H39">
        <v>85</v>
      </c>
      <c r="I39">
        <v>25</v>
      </c>
      <c r="J39">
        <v>2012</v>
      </c>
      <c r="K39">
        <v>2</v>
      </c>
      <c r="L39" t="s">
        <v>114</v>
      </c>
    </row>
    <row r="40" spans="1:12" x14ac:dyDescent="0.25">
      <c r="A40">
        <v>39</v>
      </c>
      <c r="B40" t="s">
        <v>115</v>
      </c>
      <c r="C40" t="s">
        <v>11</v>
      </c>
      <c r="D40" t="s">
        <v>1050</v>
      </c>
      <c r="E40" s="2">
        <v>45200000</v>
      </c>
      <c r="F40" s="3">
        <v>6145.4571999999998</v>
      </c>
      <c r="G40" t="s">
        <v>108</v>
      </c>
      <c r="H40">
        <v>27</v>
      </c>
      <c r="I40">
        <v>7</v>
      </c>
      <c r="J40">
        <v>2013</v>
      </c>
      <c r="K40">
        <v>2</v>
      </c>
      <c r="L40" t="s">
        <v>117</v>
      </c>
    </row>
    <row r="41" spans="1:12" x14ac:dyDescent="0.25">
      <c r="A41">
        <v>40</v>
      </c>
      <c r="B41" t="s">
        <v>118</v>
      </c>
      <c r="C41" t="s">
        <v>11</v>
      </c>
      <c r="D41" t="s">
        <v>1050</v>
      </c>
      <c r="E41" s="2">
        <v>15200000</v>
      </c>
      <c r="F41" s="3">
        <v>6134.3501999999999</v>
      </c>
      <c r="G41" t="s">
        <v>119</v>
      </c>
      <c r="H41">
        <v>71</v>
      </c>
      <c r="I41">
        <v>1</v>
      </c>
      <c r="J41">
        <v>2014</v>
      </c>
      <c r="K41">
        <v>1</v>
      </c>
      <c r="L41" t="s">
        <v>120</v>
      </c>
    </row>
    <row r="42" spans="1:12" x14ac:dyDescent="0.25">
      <c r="A42">
        <v>41</v>
      </c>
      <c r="B42" t="s">
        <v>121</v>
      </c>
      <c r="C42" t="s">
        <v>50</v>
      </c>
      <c r="D42" t="s">
        <v>52</v>
      </c>
      <c r="E42" s="2">
        <v>8300000.0000000009</v>
      </c>
      <c r="F42" s="3">
        <v>6055.9447</v>
      </c>
      <c r="G42" t="s">
        <v>20</v>
      </c>
      <c r="H42">
        <v>13</v>
      </c>
      <c r="I42">
        <v>2</v>
      </c>
      <c r="J42">
        <v>2014</v>
      </c>
      <c r="K42">
        <v>1</v>
      </c>
      <c r="L42" t="s">
        <v>52</v>
      </c>
    </row>
    <row r="43" spans="1:12" x14ac:dyDescent="0.25">
      <c r="A43">
        <v>42</v>
      </c>
      <c r="B43" t="s">
        <v>122</v>
      </c>
      <c r="C43" t="s">
        <v>50</v>
      </c>
      <c r="D43" t="s">
        <v>52</v>
      </c>
      <c r="E43" s="2">
        <v>6400000</v>
      </c>
      <c r="F43" s="3">
        <v>6017.8863000000001</v>
      </c>
      <c r="G43" t="s">
        <v>87</v>
      </c>
      <c r="H43">
        <v>41</v>
      </c>
      <c r="I43">
        <v>5</v>
      </c>
      <c r="J43">
        <v>2014</v>
      </c>
      <c r="K43">
        <v>1</v>
      </c>
      <c r="L43" t="s">
        <v>52</v>
      </c>
    </row>
    <row r="44" spans="1:12" x14ac:dyDescent="0.25">
      <c r="A44">
        <v>43</v>
      </c>
      <c r="B44" t="s">
        <v>123</v>
      </c>
      <c r="C44" t="s">
        <v>38</v>
      </c>
      <c r="D44" t="s">
        <v>1013</v>
      </c>
      <c r="E44" s="2">
        <v>7000000</v>
      </c>
      <c r="F44" s="3">
        <v>5935.6786000000002</v>
      </c>
      <c r="G44" t="s">
        <v>124</v>
      </c>
      <c r="H44">
        <v>15</v>
      </c>
      <c r="I44">
        <v>1</v>
      </c>
      <c r="J44">
        <v>2014</v>
      </c>
      <c r="K44">
        <v>2</v>
      </c>
      <c r="L44" t="s">
        <v>39</v>
      </c>
    </row>
    <row r="45" spans="1:12" x14ac:dyDescent="0.25">
      <c r="A45">
        <v>44</v>
      </c>
      <c r="B45" t="s">
        <v>125</v>
      </c>
      <c r="C45" t="s">
        <v>50</v>
      </c>
      <c r="D45" t="s">
        <v>52</v>
      </c>
      <c r="E45" s="2">
        <v>8800000</v>
      </c>
      <c r="F45" s="3">
        <v>5852.2148999999999</v>
      </c>
      <c r="G45" t="s">
        <v>3</v>
      </c>
      <c r="H45">
        <v>40</v>
      </c>
      <c r="I45">
        <v>12</v>
      </c>
      <c r="J45">
        <v>2014</v>
      </c>
      <c r="K45">
        <v>1</v>
      </c>
      <c r="L45" t="s">
        <v>52</v>
      </c>
    </row>
    <row r="46" spans="1:12" x14ac:dyDescent="0.25">
      <c r="A46">
        <v>45</v>
      </c>
      <c r="B46" t="s">
        <v>126</v>
      </c>
      <c r="C46" t="s">
        <v>38</v>
      </c>
      <c r="D46" t="s">
        <v>1013</v>
      </c>
      <c r="E46" s="2">
        <v>6200000</v>
      </c>
      <c r="F46" s="3">
        <v>5835.3894</v>
      </c>
      <c r="G46" t="s">
        <v>108</v>
      </c>
      <c r="H46">
        <v>10</v>
      </c>
      <c r="I46">
        <v>2</v>
      </c>
      <c r="J46">
        <v>2004</v>
      </c>
      <c r="K46">
        <v>1</v>
      </c>
      <c r="L46" t="s">
        <v>127</v>
      </c>
    </row>
    <row r="47" spans="1:12" x14ac:dyDescent="0.25">
      <c r="A47">
        <v>46</v>
      </c>
      <c r="B47" t="s">
        <v>128</v>
      </c>
      <c r="C47" t="s">
        <v>50</v>
      </c>
      <c r="D47" t="s">
        <v>52</v>
      </c>
      <c r="E47" s="2">
        <v>16900000</v>
      </c>
      <c r="F47" s="3">
        <v>5768.1832999999997</v>
      </c>
      <c r="G47" t="s">
        <v>73</v>
      </c>
      <c r="H47">
        <v>56</v>
      </c>
      <c r="I47">
        <v>7</v>
      </c>
      <c r="J47">
        <v>2014</v>
      </c>
      <c r="K47">
        <v>1</v>
      </c>
      <c r="L47" t="s">
        <v>52</v>
      </c>
    </row>
    <row r="48" spans="1:12" x14ac:dyDescent="0.25">
      <c r="A48">
        <v>47</v>
      </c>
      <c r="B48" t="s">
        <v>129</v>
      </c>
      <c r="C48" t="s">
        <v>19</v>
      </c>
      <c r="D48" t="s">
        <v>1052</v>
      </c>
      <c r="E48" s="2">
        <v>6300000</v>
      </c>
      <c r="F48" s="3">
        <v>5638.3886000000002</v>
      </c>
      <c r="G48" t="s">
        <v>130</v>
      </c>
      <c r="H48">
        <v>46</v>
      </c>
      <c r="I48">
        <v>5</v>
      </c>
      <c r="J48">
        <v>2013</v>
      </c>
      <c r="K48">
        <v>1</v>
      </c>
      <c r="L48" t="s">
        <v>131</v>
      </c>
    </row>
    <row r="49" spans="1:12" x14ac:dyDescent="0.25">
      <c r="A49">
        <v>48</v>
      </c>
      <c r="B49" t="s">
        <v>132</v>
      </c>
      <c r="C49" t="s">
        <v>133</v>
      </c>
      <c r="D49" t="s">
        <v>1066</v>
      </c>
      <c r="E49" s="2">
        <v>9800000</v>
      </c>
      <c r="F49" s="3">
        <v>5638.0311000000002</v>
      </c>
      <c r="G49" t="s">
        <v>134</v>
      </c>
      <c r="H49">
        <v>86</v>
      </c>
      <c r="I49">
        <v>3</v>
      </c>
      <c r="J49">
        <v>2014</v>
      </c>
      <c r="K49">
        <v>1</v>
      </c>
      <c r="L49" t="s">
        <v>135</v>
      </c>
    </row>
    <row r="50" spans="1:12" x14ac:dyDescent="0.25">
      <c r="A50">
        <v>49</v>
      </c>
      <c r="B50" t="s">
        <v>136</v>
      </c>
      <c r="C50" t="s">
        <v>38</v>
      </c>
      <c r="D50" t="s">
        <v>1013</v>
      </c>
      <c r="E50" s="2">
        <v>7100000</v>
      </c>
      <c r="F50" s="3">
        <v>5634.3140999999996</v>
      </c>
      <c r="G50" t="s">
        <v>24</v>
      </c>
      <c r="H50">
        <v>22</v>
      </c>
      <c r="I50">
        <v>6</v>
      </c>
      <c r="J50">
        <v>2010</v>
      </c>
      <c r="K50">
        <v>1</v>
      </c>
      <c r="L50" t="s">
        <v>137</v>
      </c>
    </row>
    <row r="51" spans="1:12" x14ac:dyDescent="0.25">
      <c r="A51">
        <v>50</v>
      </c>
      <c r="B51" t="s">
        <v>138</v>
      </c>
      <c r="C51" t="s">
        <v>113</v>
      </c>
      <c r="D51" t="s">
        <v>1065</v>
      </c>
      <c r="E51" s="2">
        <v>48500000</v>
      </c>
      <c r="F51" s="3">
        <v>5484.3681999999999</v>
      </c>
      <c r="G51" t="s">
        <v>139</v>
      </c>
      <c r="H51">
        <v>500</v>
      </c>
      <c r="I51">
        <v>70</v>
      </c>
      <c r="J51">
        <v>2012</v>
      </c>
      <c r="K51">
        <v>3</v>
      </c>
      <c r="L51" t="s">
        <v>140</v>
      </c>
    </row>
    <row r="52" spans="1:12" x14ac:dyDescent="0.25">
      <c r="A52">
        <v>51</v>
      </c>
      <c r="B52" t="s">
        <v>141</v>
      </c>
      <c r="C52" t="s">
        <v>50</v>
      </c>
      <c r="D52" t="s">
        <v>52</v>
      </c>
      <c r="E52" s="2">
        <v>25000000</v>
      </c>
      <c r="F52" s="3">
        <v>5449.6419999999998</v>
      </c>
      <c r="G52" t="s">
        <v>51</v>
      </c>
      <c r="H52">
        <v>400</v>
      </c>
      <c r="I52">
        <v>4</v>
      </c>
      <c r="J52">
        <v>2011</v>
      </c>
      <c r="K52">
        <v>1</v>
      </c>
      <c r="L52" t="s">
        <v>142</v>
      </c>
    </row>
    <row r="53" spans="1:12" x14ac:dyDescent="0.25">
      <c r="A53">
        <v>52</v>
      </c>
      <c r="B53" t="s">
        <v>143</v>
      </c>
      <c r="C53" t="s">
        <v>78</v>
      </c>
      <c r="D53" t="s">
        <v>1060</v>
      </c>
      <c r="E53" s="2">
        <v>42500000</v>
      </c>
      <c r="F53" s="3">
        <v>5416.8842000000004</v>
      </c>
      <c r="G53" t="s">
        <v>73</v>
      </c>
      <c r="H53">
        <v>430</v>
      </c>
      <c r="I53">
        <v>17</v>
      </c>
      <c r="J53">
        <v>2014</v>
      </c>
      <c r="K53">
        <v>2</v>
      </c>
      <c r="L53" t="s">
        <v>144</v>
      </c>
    </row>
    <row r="54" spans="1:12" x14ac:dyDescent="0.25">
      <c r="A54">
        <v>53</v>
      </c>
      <c r="B54" t="s">
        <v>145</v>
      </c>
      <c r="C54" t="s">
        <v>11</v>
      </c>
      <c r="D54" t="s">
        <v>1050</v>
      </c>
      <c r="E54" s="2">
        <v>23900000</v>
      </c>
      <c r="F54" s="3">
        <v>5059.5724</v>
      </c>
      <c r="G54" t="s">
        <v>146</v>
      </c>
      <c r="H54">
        <v>60</v>
      </c>
      <c r="I54">
        <v>7</v>
      </c>
      <c r="J54">
        <v>2012</v>
      </c>
      <c r="K54">
        <v>3</v>
      </c>
      <c r="L54" t="s">
        <v>116</v>
      </c>
    </row>
    <row r="55" spans="1:12" x14ac:dyDescent="0.25">
      <c r="A55">
        <v>54</v>
      </c>
      <c r="B55" t="s">
        <v>147</v>
      </c>
      <c r="C55" t="s">
        <v>11</v>
      </c>
      <c r="D55" t="s">
        <v>1050</v>
      </c>
      <c r="E55" s="2">
        <v>58800000</v>
      </c>
      <c r="F55" s="3">
        <v>4978.2687999999998</v>
      </c>
      <c r="G55" t="s">
        <v>148</v>
      </c>
      <c r="H55">
        <v>87</v>
      </c>
      <c r="I55">
        <v>20</v>
      </c>
      <c r="J55">
        <v>2014</v>
      </c>
      <c r="K55">
        <v>2</v>
      </c>
      <c r="L55" t="s">
        <v>149</v>
      </c>
    </row>
    <row r="56" spans="1:12" x14ac:dyDescent="0.25">
      <c r="A56">
        <v>55</v>
      </c>
      <c r="B56" t="s">
        <v>150</v>
      </c>
      <c r="C56" t="s">
        <v>151</v>
      </c>
      <c r="D56" t="s">
        <v>1067</v>
      </c>
      <c r="E56" s="2">
        <v>5100000</v>
      </c>
      <c r="F56" s="3">
        <v>4971.4548999999997</v>
      </c>
      <c r="G56" t="s">
        <v>152</v>
      </c>
      <c r="H56">
        <v>30</v>
      </c>
      <c r="I56">
        <v>2</v>
      </c>
      <c r="J56">
        <v>2015</v>
      </c>
      <c r="K56">
        <v>1</v>
      </c>
      <c r="L56" t="s">
        <v>153</v>
      </c>
    </row>
    <row r="57" spans="1:12" x14ac:dyDescent="0.25">
      <c r="A57">
        <v>56</v>
      </c>
      <c r="B57" t="s">
        <v>154</v>
      </c>
      <c r="C57" t="s">
        <v>155</v>
      </c>
      <c r="D57" t="s">
        <v>1068</v>
      </c>
      <c r="E57" s="2">
        <v>8000000</v>
      </c>
      <c r="F57" s="3">
        <v>4916.2166999999999</v>
      </c>
      <c r="G57" t="s">
        <v>16</v>
      </c>
      <c r="H57">
        <v>25</v>
      </c>
      <c r="I57">
        <v>8</v>
      </c>
      <c r="J57">
        <v>2014</v>
      </c>
      <c r="K57">
        <v>1</v>
      </c>
      <c r="L57" t="s">
        <v>157</v>
      </c>
    </row>
    <row r="58" spans="1:12" x14ac:dyDescent="0.25">
      <c r="A58">
        <v>57</v>
      </c>
      <c r="B58" t="s">
        <v>158</v>
      </c>
      <c r="C58" t="s">
        <v>35</v>
      </c>
      <c r="D58" t="s">
        <v>1055</v>
      </c>
      <c r="E58" s="2">
        <v>7800000</v>
      </c>
      <c r="F58" s="3">
        <v>4908.4032999999999</v>
      </c>
      <c r="G58" t="s">
        <v>16</v>
      </c>
      <c r="H58">
        <v>7</v>
      </c>
      <c r="I58">
        <v>4</v>
      </c>
      <c r="J58">
        <v>2013</v>
      </c>
      <c r="K58">
        <v>1</v>
      </c>
      <c r="L58" t="s">
        <v>160</v>
      </c>
    </row>
    <row r="59" spans="1:12" x14ac:dyDescent="0.25">
      <c r="A59">
        <v>58</v>
      </c>
      <c r="B59" t="s">
        <v>161</v>
      </c>
      <c r="C59" t="s">
        <v>107</v>
      </c>
      <c r="D59" t="s">
        <v>1064</v>
      </c>
      <c r="E59" s="2">
        <v>25900000</v>
      </c>
      <c r="F59" s="3">
        <v>4899.0268999999998</v>
      </c>
      <c r="G59" t="s">
        <v>16</v>
      </c>
      <c r="H59">
        <v>30</v>
      </c>
      <c r="I59">
        <v>6</v>
      </c>
      <c r="J59">
        <v>2015</v>
      </c>
      <c r="K59">
        <v>1</v>
      </c>
      <c r="L59" t="s">
        <v>162</v>
      </c>
    </row>
    <row r="60" spans="1:12" x14ac:dyDescent="0.25">
      <c r="A60">
        <v>59</v>
      </c>
      <c r="B60" t="s">
        <v>163</v>
      </c>
      <c r="C60" t="s">
        <v>50</v>
      </c>
      <c r="D60" t="s">
        <v>52</v>
      </c>
      <c r="E60" s="2">
        <v>107600000</v>
      </c>
      <c r="F60" s="3">
        <v>4838.0226000000002</v>
      </c>
      <c r="G60" t="s">
        <v>24</v>
      </c>
      <c r="H60">
        <v>116</v>
      </c>
      <c r="I60">
        <v>70</v>
      </c>
      <c r="J60">
        <v>2008</v>
      </c>
      <c r="K60">
        <v>2</v>
      </c>
      <c r="L60" t="s">
        <v>52</v>
      </c>
    </row>
    <row r="61" spans="1:12" x14ac:dyDescent="0.25">
      <c r="A61">
        <v>60</v>
      </c>
      <c r="B61" t="s">
        <v>164</v>
      </c>
      <c r="C61" t="s">
        <v>41</v>
      </c>
      <c r="D61" t="s">
        <v>1056</v>
      </c>
      <c r="E61" s="2">
        <v>42400000</v>
      </c>
      <c r="F61" s="3">
        <v>4820.2664999999997</v>
      </c>
      <c r="G61" t="s">
        <v>73</v>
      </c>
      <c r="H61">
        <v>254</v>
      </c>
      <c r="I61">
        <v>25</v>
      </c>
      <c r="J61">
        <v>2012</v>
      </c>
      <c r="K61">
        <v>2</v>
      </c>
      <c r="L61" t="s">
        <v>165</v>
      </c>
    </row>
    <row r="62" spans="1:12" x14ac:dyDescent="0.25">
      <c r="A62">
        <v>61</v>
      </c>
      <c r="B62" t="s">
        <v>166</v>
      </c>
      <c r="C62" t="s">
        <v>56</v>
      </c>
      <c r="D62" t="s">
        <v>1057</v>
      </c>
      <c r="E62" s="2">
        <v>21500000</v>
      </c>
      <c r="F62" s="3">
        <v>4730.0523000000003</v>
      </c>
      <c r="G62" t="s">
        <v>73</v>
      </c>
      <c r="H62">
        <v>162</v>
      </c>
      <c r="I62">
        <v>21</v>
      </c>
      <c r="J62">
        <v>2014</v>
      </c>
      <c r="K62">
        <v>1</v>
      </c>
      <c r="L62" t="s">
        <v>57</v>
      </c>
    </row>
    <row r="63" spans="1:12" x14ac:dyDescent="0.25">
      <c r="A63">
        <v>62</v>
      </c>
      <c r="B63" t="s">
        <v>167</v>
      </c>
      <c r="C63" t="s">
        <v>23</v>
      </c>
      <c r="D63" t="s">
        <v>321</v>
      </c>
      <c r="E63" s="2">
        <v>21000000</v>
      </c>
      <c r="F63" s="3">
        <v>4469.2112999999999</v>
      </c>
      <c r="G63" t="s">
        <v>12</v>
      </c>
      <c r="H63">
        <v>8</v>
      </c>
      <c r="I63">
        <v>1</v>
      </c>
      <c r="J63">
        <v>2012</v>
      </c>
      <c r="K63">
        <v>2</v>
      </c>
      <c r="L63" t="s">
        <v>168</v>
      </c>
    </row>
    <row r="64" spans="1:12" x14ac:dyDescent="0.25">
      <c r="A64">
        <v>63</v>
      </c>
      <c r="B64" t="s">
        <v>169</v>
      </c>
      <c r="C64" t="s">
        <v>46</v>
      </c>
      <c r="D64" t="s">
        <v>397</v>
      </c>
      <c r="E64" s="2">
        <v>44600000</v>
      </c>
      <c r="F64" s="3">
        <v>4442.2488000000003</v>
      </c>
      <c r="G64" t="s">
        <v>97</v>
      </c>
      <c r="H64">
        <v>100</v>
      </c>
      <c r="I64">
        <v>3</v>
      </c>
      <c r="J64">
        <v>2007</v>
      </c>
      <c r="K64">
        <v>1</v>
      </c>
      <c r="L64" t="s">
        <v>47</v>
      </c>
    </row>
    <row r="65" spans="1:12" x14ac:dyDescent="0.25">
      <c r="A65">
        <v>64</v>
      </c>
      <c r="B65" t="s">
        <v>170</v>
      </c>
      <c r="C65" t="s">
        <v>100</v>
      </c>
      <c r="D65" t="s">
        <v>1062</v>
      </c>
      <c r="E65" s="2">
        <v>5800000</v>
      </c>
      <c r="F65" s="3">
        <v>4430.1379999999999</v>
      </c>
      <c r="G65" t="s">
        <v>73</v>
      </c>
      <c r="H65">
        <v>28</v>
      </c>
      <c r="I65">
        <v>3</v>
      </c>
      <c r="J65">
        <v>2014</v>
      </c>
      <c r="K65">
        <v>1</v>
      </c>
      <c r="L65" t="s">
        <v>171</v>
      </c>
    </row>
    <row r="66" spans="1:12" x14ac:dyDescent="0.25">
      <c r="A66">
        <v>65</v>
      </c>
      <c r="B66" t="s">
        <v>172</v>
      </c>
      <c r="C66" t="s">
        <v>31</v>
      </c>
      <c r="D66" t="s">
        <v>1054</v>
      </c>
      <c r="E66" s="2">
        <v>89700000</v>
      </c>
      <c r="F66" s="3">
        <v>4405.2286000000004</v>
      </c>
      <c r="G66" t="s">
        <v>51</v>
      </c>
      <c r="H66">
        <v>158</v>
      </c>
      <c r="I66">
        <v>4</v>
      </c>
      <c r="J66">
        <v>2014</v>
      </c>
      <c r="K66">
        <v>1</v>
      </c>
      <c r="L66" t="s">
        <v>173</v>
      </c>
    </row>
    <row r="67" spans="1:12" x14ac:dyDescent="0.25">
      <c r="A67">
        <v>66</v>
      </c>
      <c r="B67" t="s">
        <v>174</v>
      </c>
      <c r="C67" t="s">
        <v>38</v>
      </c>
      <c r="D67" t="s">
        <v>1013</v>
      </c>
      <c r="E67" s="2">
        <v>10700000</v>
      </c>
      <c r="F67" s="3">
        <v>4401.8690999999999</v>
      </c>
      <c r="G67" t="s">
        <v>108</v>
      </c>
      <c r="H67">
        <v>40</v>
      </c>
      <c r="I67">
        <v>5</v>
      </c>
      <c r="J67">
        <v>2015</v>
      </c>
      <c r="K67">
        <v>1</v>
      </c>
      <c r="L67" t="s">
        <v>175</v>
      </c>
    </row>
    <row r="68" spans="1:12" x14ac:dyDescent="0.25">
      <c r="A68">
        <v>67</v>
      </c>
      <c r="B68" t="s">
        <v>176</v>
      </c>
      <c r="C68" t="s">
        <v>31</v>
      </c>
      <c r="D68" t="s">
        <v>1054</v>
      </c>
      <c r="E68" s="2">
        <v>12800000</v>
      </c>
      <c r="F68" s="3">
        <v>4345.7790000000005</v>
      </c>
      <c r="G68" t="s">
        <v>84</v>
      </c>
      <c r="H68">
        <v>64</v>
      </c>
      <c r="I68">
        <v>1</v>
      </c>
      <c r="J68">
        <v>2007</v>
      </c>
      <c r="K68">
        <v>2</v>
      </c>
      <c r="L68" t="s">
        <v>177</v>
      </c>
    </row>
    <row r="69" spans="1:12" x14ac:dyDescent="0.25">
      <c r="A69">
        <v>68</v>
      </c>
      <c r="B69" t="s">
        <v>178</v>
      </c>
      <c r="C69" t="s">
        <v>104</v>
      </c>
      <c r="D69" t="s">
        <v>1063</v>
      </c>
      <c r="E69" s="2">
        <v>9000000</v>
      </c>
      <c r="F69" s="3">
        <v>4322.5573000000004</v>
      </c>
      <c r="G69" t="s">
        <v>73</v>
      </c>
      <c r="H69">
        <v>63</v>
      </c>
      <c r="I69">
        <v>31</v>
      </c>
      <c r="J69">
        <v>2013</v>
      </c>
      <c r="K69">
        <v>1</v>
      </c>
      <c r="L69" t="s">
        <v>105</v>
      </c>
    </row>
    <row r="70" spans="1:12" x14ac:dyDescent="0.25">
      <c r="A70">
        <v>69</v>
      </c>
      <c r="B70" t="s">
        <v>179</v>
      </c>
      <c r="C70" t="s">
        <v>38</v>
      </c>
      <c r="D70" t="s">
        <v>1013</v>
      </c>
      <c r="E70" s="2">
        <v>146300000</v>
      </c>
      <c r="F70" s="3">
        <v>4308.7443999999996</v>
      </c>
      <c r="G70" t="s">
        <v>24</v>
      </c>
      <c r="H70">
        <v>380</v>
      </c>
      <c r="I70">
        <v>110</v>
      </c>
      <c r="J70">
        <v>2012</v>
      </c>
      <c r="K70">
        <v>1</v>
      </c>
      <c r="L70" t="s">
        <v>180</v>
      </c>
    </row>
    <row r="71" spans="1:12" x14ac:dyDescent="0.25">
      <c r="A71">
        <v>70</v>
      </c>
      <c r="B71" t="s">
        <v>181</v>
      </c>
      <c r="C71" t="s">
        <v>38</v>
      </c>
      <c r="D71" t="s">
        <v>1013</v>
      </c>
      <c r="E71" s="2">
        <v>14300000</v>
      </c>
      <c r="F71" s="3">
        <v>4283.2753000000002</v>
      </c>
      <c r="G71" t="s">
        <v>12</v>
      </c>
      <c r="H71">
        <v>7</v>
      </c>
      <c r="I71">
        <v>5</v>
      </c>
      <c r="J71">
        <v>2014</v>
      </c>
      <c r="K71">
        <v>1</v>
      </c>
      <c r="L71" t="s">
        <v>182</v>
      </c>
    </row>
    <row r="72" spans="1:12" x14ac:dyDescent="0.25">
      <c r="A72">
        <v>71</v>
      </c>
      <c r="B72" t="s">
        <v>183</v>
      </c>
      <c r="C72" t="s">
        <v>56</v>
      </c>
      <c r="D72" t="s">
        <v>1057</v>
      </c>
      <c r="E72" s="2">
        <v>6200000</v>
      </c>
      <c r="F72" s="3">
        <v>4281.4016000000001</v>
      </c>
      <c r="G72" t="s">
        <v>81</v>
      </c>
      <c r="H72">
        <v>13</v>
      </c>
      <c r="I72">
        <v>7</v>
      </c>
      <c r="J72">
        <v>2014</v>
      </c>
      <c r="K72">
        <v>1</v>
      </c>
      <c r="L72" t="s">
        <v>57</v>
      </c>
    </row>
    <row r="73" spans="1:12" x14ac:dyDescent="0.25">
      <c r="A73">
        <v>72</v>
      </c>
      <c r="B73" t="s">
        <v>184</v>
      </c>
      <c r="C73" t="s">
        <v>11</v>
      </c>
      <c r="D73" t="s">
        <v>1050</v>
      </c>
      <c r="E73" s="2">
        <v>4700000</v>
      </c>
      <c r="F73" s="3">
        <v>4279.7745999999997</v>
      </c>
      <c r="G73" t="s">
        <v>16</v>
      </c>
      <c r="H73">
        <v>30</v>
      </c>
      <c r="I73">
        <v>3</v>
      </c>
      <c r="J73">
        <v>2015</v>
      </c>
      <c r="K73">
        <v>1</v>
      </c>
      <c r="L73" t="s">
        <v>13</v>
      </c>
    </row>
    <row r="74" spans="1:12" x14ac:dyDescent="0.25">
      <c r="A74">
        <v>73</v>
      </c>
      <c r="B74" t="s">
        <v>185</v>
      </c>
      <c r="C74" t="s">
        <v>100</v>
      </c>
      <c r="D74" t="s">
        <v>1062</v>
      </c>
      <c r="E74" s="2">
        <v>20900000</v>
      </c>
      <c r="F74" s="3">
        <v>4266.8158000000003</v>
      </c>
      <c r="G74" t="s">
        <v>73</v>
      </c>
      <c r="H74">
        <v>258</v>
      </c>
      <c r="I74">
        <v>28</v>
      </c>
      <c r="J74">
        <v>2013</v>
      </c>
      <c r="K74">
        <v>1</v>
      </c>
      <c r="L74" t="s">
        <v>186</v>
      </c>
    </row>
    <row r="75" spans="1:12" x14ac:dyDescent="0.25">
      <c r="A75">
        <v>74</v>
      </c>
      <c r="B75" t="s">
        <v>187</v>
      </c>
      <c r="C75" t="s">
        <v>27</v>
      </c>
      <c r="D75" t="s">
        <v>1053</v>
      </c>
      <c r="E75" s="2">
        <v>4600000</v>
      </c>
      <c r="F75" s="3">
        <v>4246.7510000000002</v>
      </c>
      <c r="G75" t="s">
        <v>73</v>
      </c>
      <c r="H75">
        <v>39</v>
      </c>
      <c r="I75">
        <v>1</v>
      </c>
      <c r="J75">
        <v>2011</v>
      </c>
      <c r="K75">
        <v>3</v>
      </c>
      <c r="L75" t="s">
        <v>188</v>
      </c>
    </row>
    <row r="76" spans="1:12" x14ac:dyDescent="0.25">
      <c r="A76">
        <v>75</v>
      </c>
      <c r="B76" t="s">
        <v>189</v>
      </c>
      <c r="C76" t="s">
        <v>23</v>
      </c>
      <c r="D76" t="s">
        <v>321</v>
      </c>
      <c r="E76" s="2">
        <v>6700000</v>
      </c>
      <c r="F76" s="3">
        <v>4233.6743999999999</v>
      </c>
      <c r="G76" t="s">
        <v>146</v>
      </c>
      <c r="H76">
        <v>36</v>
      </c>
      <c r="I76">
        <v>2</v>
      </c>
      <c r="J76">
        <v>2012</v>
      </c>
      <c r="K76">
        <v>1</v>
      </c>
      <c r="L76" t="s">
        <v>25</v>
      </c>
    </row>
    <row r="77" spans="1:12" x14ac:dyDescent="0.25">
      <c r="A77">
        <v>76</v>
      </c>
      <c r="B77" t="s">
        <v>190</v>
      </c>
      <c r="C77" t="s">
        <v>191</v>
      </c>
      <c r="D77" t="s">
        <v>1069</v>
      </c>
      <c r="E77" s="2">
        <v>10000000</v>
      </c>
      <c r="F77" s="3">
        <v>4207.8615</v>
      </c>
      <c r="G77" t="s">
        <v>24</v>
      </c>
      <c r="H77">
        <v>35</v>
      </c>
      <c r="I77">
        <v>2</v>
      </c>
      <c r="J77">
        <v>2014</v>
      </c>
      <c r="K77">
        <v>1</v>
      </c>
      <c r="L77" t="s">
        <v>192</v>
      </c>
    </row>
    <row r="78" spans="1:12" x14ac:dyDescent="0.25">
      <c r="A78">
        <v>77</v>
      </c>
      <c r="B78" t="s">
        <v>193</v>
      </c>
      <c r="C78" t="s">
        <v>19</v>
      </c>
      <c r="D78" t="s">
        <v>1052</v>
      </c>
      <c r="E78" s="2">
        <v>8199999.9999999991</v>
      </c>
      <c r="F78" s="3">
        <v>4138.1126000000004</v>
      </c>
      <c r="G78" t="s">
        <v>7</v>
      </c>
      <c r="H78">
        <v>78</v>
      </c>
      <c r="I78">
        <v>11</v>
      </c>
      <c r="J78">
        <v>2015</v>
      </c>
      <c r="K78">
        <v>1</v>
      </c>
      <c r="L78" t="s">
        <v>194</v>
      </c>
    </row>
    <row r="79" spans="1:12" x14ac:dyDescent="0.25">
      <c r="A79">
        <v>78</v>
      </c>
      <c r="B79" t="s">
        <v>195</v>
      </c>
      <c r="C79" t="s">
        <v>113</v>
      </c>
      <c r="D79" t="s">
        <v>1065</v>
      </c>
      <c r="E79" s="2">
        <v>4300000</v>
      </c>
      <c r="F79" s="3">
        <v>4090.7424000000001</v>
      </c>
      <c r="G79" t="s">
        <v>84</v>
      </c>
      <c r="H79">
        <v>14</v>
      </c>
      <c r="I79">
        <v>1</v>
      </c>
      <c r="J79">
        <v>2000</v>
      </c>
      <c r="K79">
        <v>1</v>
      </c>
      <c r="L79" t="s">
        <v>114</v>
      </c>
    </row>
    <row r="80" spans="1:12" x14ac:dyDescent="0.25">
      <c r="A80">
        <v>79</v>
      </c>
      <c r="B80" t="s">
        <v>196</v>
      </c>
      <c r="C80" t="s">
        <v>107</v>
      </c>
      <c r="D80" t="s">
        <v>1064</v>
      </c>
      <c r="E80" s="2">
        <v>7200000</v>
      </c>
      <c r="F80" s="3">
        <v>4089.6556999999998</v>
      </c>
      <c r="G80" t="s">
        <v>108</v>
      </c>
      <c r="H80">
        <v>40</v>
      </c>
      <c r="I80">
        <v>6</v>
      </c>
      <c r="J80">
        <v>2002</v>
      </c>
      <c r="K80">
        <v>1</v>
      </c>
      <c r="L80" t="s">
        <v>197</v>
      </c>
    </row>
    <row r="81" spans="1:12" x14ac:dyDescent="0.25">
      <c r="A81">
        <v>80</v>
      </c>
      <c r="B81" t="s">
        <v>198</v>
      </c>
      <c r="C81" t="s">
        <v>78</v>
      </c>
      <c r="D81" t="s">
        <v>1060</v>
      </c>
      <c r="E81" s="2">
        <v>4700000</v>
      </c>
      <c r="F81" s="3">
        <v>4088.0160000000001</v>
      </c>
      <c r="G81" t="s">
        <v>16</v>
      </c>
      <c r="H81">
        <v>12</v>
      </c>
      <c r="I81">
        <v>2</v>
      </c>
      <c r="J81">
        <v>2015</v>
      </c>
      <c r="K81">
        <v>1</v>
      </c>
      <c r="L81" t="s">
        <v>79</v>
      </c>
    </row>
    <row r="82" spans="1:12" x14ac:dyDescent="0.25">
      <c r="A82">
        <v>81</v>
      </c>
      <c r="B82" t="s">
        <v>199</v>
      </c>
      <c r="C82" t="s">
        <v>113</v>
      </c>
      <c r="D82" t="s">
        <v>1065</v>
      </c>
      <c r="E82" s="2">
        <v>16300000</v>
      </c>
      <c r="F82" s="3">
        <v>4035.1824999999999</v>
      </c>
      <c r="G82" t="s">
        <v>24</v>
      </c>
      <c r="H82">
        <v>38</v>
      </c>
      <c r="I82">
        <v>8</v>
      </c>
      <c r="J82">
        <v>2014</v>
      </c>
      <c r="K82">
        <v>1</v>
      </c>
      <c r="L82" t="s">
        <v>201</v>
      </c>
    </row>
    <row r="83" spans="1:12" x14ac:dyDescent="0.25">
      <c r="A83">
        <v>82</v>
      </c>
      <c r="B83" t="s">
        <v>202</v>
      </c>
      <c r="C83" t="s">
        <v>203</v>
      </c>
      <c r="D83" t="s">
        <v>1070</v>
      </c>
      <c r="E83" s="2">
        <v>54400000</v>
      </c>
      <c r="F83" s="3">
        <v>3839.8420000000001</v>
      </c>
      <c r="G83" t="s">
        <v>7</v>
      </c>
      <c r="H83">
        <v>50</v>
      </c>
      <c r="I83">
        <v>4</v>
      </c>
      <c r="J83">
        <v>2015</v>
      </c>
      <c r="K83">
        <v>1</v>
      </c>
      <c r="L83" t="s">
        <v>204</v>
      </c>
    </row>
    <row r="84" spans="1:12" x14ac:dyDescent="0.25">
      <c r="A84">
        <v>83</v>
      </c>
      <c r="B84" t="s">
        <v>205</v>
      </c>
      <c r="C84" t="s">
        <v>11</v>
      </c>
      <c r="D84" t="s">
        <v>1050</v>
      </c>
      <c r="E84" s="2">
        <v>5100000</v>
      </c>
      <c r="F84" s="3">
        <v>3778.5391</v>
      </c>
      <c r="G84" t="s">
        <v>73</v>
      </c>
      <c r="H84">
        <v>50</v>
      </c>
      <c r="I84">
        <v>15</v>
      </c>
      <c r="J84">
        <v>2012</v>
      </c>
      <c r="K84">
        <v>2</v>
      </c>
      <c r="L84" t="s">
        <v>206</v>
      </c>
    </row>
    <row r="85" spans="1:12" x14ac:dyDescent="0.25">
      <c r="A85">
        <v>83</v>
      </c>
      <c r="B85" t="s">
        <v>207</v>
      </c>
      <c r="C85" t="s">
        <v>38</v>
      </c>
      <c r="D85" t="s">
        <v>1013</v>
      </c>
      <c r="E85" s="2">
        <v>25800000</v>
      </c>
      <c r="F85" s="3">
        <v>3775.1386000000002</v>
      </c>
      <c r="G85" t="s">
        <v>108</v>
      </c>
      <c r="H85">
        <v>25</v>
      </c>
      <c r="I85">
        <v>3</v>
      </c>
      <c r="J85">
        <v>2013</v>
      </c>
      <c r="K85">
        <v>1</v>
      </c>
      <c r="L85" t="s">
        <v>208</v>
      </c>
    </row>
    <row r="86" spans="1:12" x14ac:dyDescent="0.25">
      <c r="A86">
        <v>84</v>
      </c>
      <c r="B86" t="s">
        <v>209</v>
      </c>
      <c r="C86" t="s">
        <v>78</v>
      </c>
      <c r="D86" t="s">
        <v>1060</v>
      </c>
      <c r="E86" s="2">
        <v>9000000</v>
      </c>
      <c r="F86" s="3">
        <v>3727.5346</v>
      </c>
      <c r="G86" t="s">
        <v>3</v>
      </c>
      <c r="H86">
        <v>13</v>
      </c>
      <c r="I86">
        <v>10</v>
      </c>
      <c r="J86">
        <v>2014</v>
      </c>
      <c r="K86">
        <v>2</v>
      </c>
      <c r="L86" t="s">
        <v>210</v>
      </c>
    </row>
    <row r="87" spans="1:12" x14ac:dyDescent="0.25">
      <c r="A87">
        <v>85</v>
      </c>
      <c r="B87" t="s">
        <v>211</v>
      </c>
      <c r="C87" t="s">
        <v>2</v>
      </c>
      <c r="D87" t="s">
        <v>1048</v>
      </c>
      <c r="E87" s="2">
        <v>9000000</v>
      </c>
      <c r="F87" s="3">
        <v>3692.3510000000001</v>
      </c>
      <c r="G87" t="s">
        <v>51</v>
      </c>
      <c r="H87">
        <v>19</v>
      </c>
      <c r="I87">
        <v>3</v>
      </c>
      <c r="J87">
        <v>2015</v>
      </c>
      <c r="K87">
        <v>1</v>
      </c>
      <c r="L87" t="s">
        <v>4</v>
      </c>
    </row>
    <row r="88" spans="1:12" x14ac:dyDescent="0.25">
      <c r="A88">
        <v>86</v>
      </c>
      <c r="B88" t="s">
        <v>212</v>
      </c>
      <c r="C88" t="s">
        <v>11</v>
      </c>
      <c r="D88" t="s">
        <v>1050</v>
      </c>
      <c r="E88" s="2">
        <v>4500000</v>
      </c>
      <c r="F88" s="3">
        <v>3683.6824000000001</v>
      </c>
      <c r="G88" t="s">
        <v>152</v>
      </c>
      <c r="H88">
        <v>463</v>
      </c>
      <c r="I88">
        <v>22</v>
      </c>
      <c r="J88">
        <v>2015</v>
      </c>
      <c r="K88">
        <v>1</v>
      </c>
      <c r="L88" t="s">
        <v>13</v>
      </c>
    </row>
    <row r="89" spans="1:12" x14ac:dyDescent="0.25">
      <c r="A89">
        <v>87</v>
      </c>
      <c r="B89" t="s">
        <v>213</v>
      </c>
      <c r="C89" t="s">
        <v>38</v>
      </c>
      <c r="D89" t="s">
        <v>1013</v>
      </c>
      <c r="E89" s="2">
        <v>104100000</v>
      </c>
      <c r="F89" s="3">
        <v>3665.0612000000001</v>
      </c>
      <c r="G89" t="s">
        <v>16</v>
      </c>
      <c r="H89">
        <v>1200</v>
      </c>
      <c r="I89">
        <v>30</v>
      </c>
      <c r="J89">
        <v>2012</v>
      </c>
      <c r="K89">
        <v>2</v>
      </c>
      <c r="L89" t="s">
        <v>76</v>
      </c>
    </row>
    <row r="90" spans="1:12" x14ac:dyDescent="0.25">
      <c r="A90">
        <v>88</v>
      </c>
      <c r="B90" t="s">
        <v>214</v>
      </c>
      <c r="C90" t="s">
        <v>38</v>
      </c>
      <c r="D90" t="s">
        <v>1013</v>
      </c>
      <c r="E90" s="2">
        <v>3900000</v>
      </c>
      <c r="F90" s="3">
        <v>3623.0563000000002</v>
      </c>
      <c r="G90" t="s">
        <v>130</v>
      </c>
      <c r="H90">
        <v>25</v>
      </c>
      <c r="I90">
        <v>3</v>
      </c>
      <c r="J90">
        <v>2015</v>
      </c>
      <c r="K90">
        <v>1</v>
      </c>
      <c r="L90" t="s">
        <v>215</v>
      </c>
    </row>
    <row r="91" spans="1:12" x14ac:dyDescent="0.25">
      <c r="A91">
        <v>89</v>
      </c>
      <c r="B91" t="s">
        <v>216</v>
      </c>
      <c r="C91" t="s">
        <v>38</v>
      </c>
      <c r="D91" t="s">
        <v>1013</v>
      </c>
      <c r="E91" s="2">
        <v>10400000</v>
      </c>
      <c r="F91" s="3">
        <v>3534.7662999999998</v>
      </c>
      <c r="G91" t="s">
        <v>119</v>
      </c>
      <c r="H91">
        <v>178</v>
      </c>
      <c r="I91">
        <v>11</v>
      </c>
      <c r="J91">
        <v>2015</v>
      </c>
      <c r="K91">
        <v>2</v>
      </c>
      <c r="L91" t="s">
        <v>217</v>
      </c>
    </row>
    <row r="92" spans="1:12" x14ac:dyDescent="0.25">
      <c r="A92">
        <v>90</v>
      </c>
      <c r="B92" t="s">
        <v>218</v>
      </c>
      <c r="C92" t="s">
        <v>219</v>
      </c>
      <c r="D92" t="s">
        <v>1071</v>
      </c>
      <c r="E92" s="2">
        <v>14400000</v>
      </c>
      <c r="F92" s="3">
        <v>3531.5913</v>
      </c>
      <c r="G92" t="s">
        <v>139</v>
      </c>
      <c r="H92">
        <v>49</v>
      </c>
      <c r="I92">
        <v>4</v>
      </c>
      <c r="J92">
        <v>2013</v>
      </c>
      <c r="K92">
        <v>2</v>
      </c>
      <c r="L92" t="s">
        <v>220</v>
      </c>
    </row>
    <row r="93" spans="1:12" x14ac:dyDescent="0.25">
      <c r="A93">
        <v>91</v>
      </c>
      <c r="B93" t="s">
        <v>221</v>
      </c>
      <c r="C93" t="s">
        <v>31</v>
      </c>
      <c r="D93" t="s">
        <v>1054</v>
      </c>
      <c r="E93" s="2">
        <v>6400000</v>
      </c>
      <c r="F93" s="3">
        <v>3469.3888999999999</v>
      </c>
      <c r="G93" t="s">
        <v>84</v>
      </c>
      <c r="H93">
        <v>35</v>
      </c>
      <c r="I93">
        <v>5</v>
      </c>
      <c r="J93">
        <v>2012</v>
      </c>
      <c r="K93">
        <v>2</v>
      </c>
      <c r="L93" t="s">
        <v>177</v>
      </c>
    </row>
    <row r="94" spans="1:12" x14ac:dyDescent="0.25">
      <c r="A94">
        <v>92</v>
      </c>
      <c r="B94" t="s">
        <v>222</v>
      </c>
      <c r="C94" t="s">
        <v>66</v>
      </c>
      <c r="D94" t="s">
        <v>1058</v>
      </c>
      <c r="E94" s="2">
        <v>4900000</v>
      </c>
      <c r="F94" s="3">
        <v>3417.6307999999999</v>
      </c>
      <c r="G94" t="s">
        <v>24</v>
      </c>
      <c r="H94">
        <v>19</v>
      </c>
      <c r="I94">
        <v>1</v>
      </c>
      <c r="J94">
        <v>2014</v>
      </c>
      <c r="K94">
        <v>1</v>
      </c>
      <c r="L94" t="s">
        <v>223</v>
      </c>
    </row>
    <row r="95" spans="1:12" x14ac:dyDescent="0.25">
      <c r="A95">
        <v>93</v>
      </c>
      <c r="B95" t="s">
        <v>224</v>
      </c>
      <c r="C95" t="s">
        <v>107</v>
      </c>
      <c r="D95" t="s">
        <v>1064</v>
      </c>
      <c r="E95" s="2">
        <v>6600000</v>
      </c>
      <c r="F95" s="3">
        <v>3399.5282000000002</v>
      </c>
      <c r="G95" t="s">
        <v>20</v>
      </c>
      <c r="H95">
        <v>25</v>
      </c>
      <c r="I95">
        <v>3</v>
      </c>
      <c r="J95">
        <v>2013</v>
      </c>
      <c r="K95">
        <v>2</v>
      </c>
      <c r="L95" t="s">
        <v>225</v>
      </c>
    </row>
    <row r="96" spans="1:12" x14ac:dyDescent="0.25">
      <c r="A96">
        <v>94</v>
      </c>
      <c r="B96" t="s">
        <v>226</v>
      </c>
      <c r="C96" t="s">
        <v>50</v>
      </c>
      <c r="D96" t="s">
        <v>52</v>
      </c>
      <c r="E96" s="2">
        <v>7300000</v>
      </c>
      <c r="F96" s="3">
        <v>3387.6552000000001</v>
      </c>
      <c r="G96" t="s">
        <v>32</v>
      </c>
      <c r="H96">
        <v>65</v>
      </c>
      <c r="I96">
        <v>7</v>
      </c>
      <c r="J96">
        <v>2014</v>
      </c>
      <c r="K96">
        <v>1</v>
      </c>
      <c r="L96" t="s">
        <v>227</v>
      </c>
    </row>
    <row r="97" spans="1:12" x14ac:dyDescent="0.25">
      <c r="A97">
        <v>95</v>
      </c>
      <c r="B97" t="s">
        <v>228</v>
      </c>
      <c r="C97" t="s">
        <v>38</v>
      </c>
      <c r="D97" t="s">
        <v>1013</v>
      </c>
      <c r="E97" s="2">
        <v>7400000</v>
      </c>
      <c r="F97" s="3">
        <v>3371.0279999999998</v>
      </c>
      <c r="G97" t="s">
        <v>3</v>
      </c>
      <c r="H97">
        <v>85</v>
      </c>
      <c r="I97">
        <v>1</v>
      </c>
      <c r="J97">
        <v>2014</v>
      </c>
      <c r="K97">
        <v>1</v>
      </c>
      <c r="L97" t="s">
        <v>229</v>
      </c>
    </row>
    <row r="98" spans="1:12" x14ac:dyDescent="0.25">
      <c r="A98">
        <v>96</v>
      </c>
      <c r="B98" t="s">
        <v>230</v>
      </c>
      <c r="C98" t="s">
        <v>38</v>
      </c>
      <c r="D98" t="s">
        <v>1013</v>
      </c>
      <c r="E98" s="2">
        <v>15300000</v>
      </c>
      <c r="F98" s="3">
        <v>3357.7037999999998</v>
      </c>
      <c r="G98" t="s">
        <v>24</v>
      </c>
      <c r="H98">
        <v>16</v>
      </c>
      <c r="I98">
        <v>8</v>
      </c>
      <c r="J98">
        <v>2011</v>
      </c>
      <c r="K98">
        <v>1</v>
      </c>
      <c r="L98" t="s">
        <v>63</v>
      </c>
    </row>
    <row r="99" spans="1:12" x14ac:dyDescent="0.25">
      <c r="A99">
        <v>97</v>
      </c>
      <c r="B99" t="s">
        <v>231</v>
      </c>
      <c r="C99" t="s">
        <v>50</v>
      </c>
      <c r="D99" t="s">
        <v>52</v>
      </c>
      <c r="E99" s="2">
        <v>13700000</v>
      </c>
      <c r="F99" s="3">
        <v>3350.0091000000002</v>
      </c>
      <c r="G99" t="s">
        <v>51</v>
      </c>
      <c r="H99">
        <v>54</v>
      </c>
      <c r="I99">
        <v>10</v>
      </c>
      <c r="J99">
        <v>2014</v>
      </c>
      <c r="K99">
        <v>1</v>
      </c>
      <c r="L99" t="s">
        <v>52</v>
      </c>
    </row>
    <row r="100" spans="1:12" x14ac:dyDescent="0.25">
      <c r="A100">
        <v>98</v>
      </c>
      <c r="B100" t="s">
        <v>232</v>
      </c>
      <c r="C100" t="s">
        <v>35</v>
      </c>
      <c r="D100" t="s">
        <v>1055</v>
      </c>
      <c r="E100" s="2">
        <v>4800000</v>
      </c>
      <c r="F100" s="3">
        <v>3339.6237000000001</v>
      </c>
      <c r="G100" t="s">
        <v>7</v>
      </c>
      <c r="H100">
        <v>35</v>
      </c>
      <c r="I100">
        <v>1</v>
      </c>
      <c r="J100">
        <v>2014</v>
      </c>
      <c r="K100">
        <v>1</v>
      </c>
      <c r="L100" t="s">
        <v>233</v>
      </c>
    </row>
    <row r="101" spans="1:12" x14ac:dyDescent="0.25">
      <c r="A101">
        <v>99</v>
      </c>
      <c r="B101" t="s">
        <v>234</v>
      </c>
      <c r="C101" t="s">
        <v>219</v>
      </c>
      <c r="D101" t="s">
        <v>1071</v>
      </c>
      <c r="E101" s="2">
        <v>34200000</v>
      </c>
      <c r="F101" s="3">
        <v>3325.7138</v>
      </c>
      <c r="G101" t="s">
        <v>7</v>
      </c>
      <c r="H101">
        <v>450</v>
      </c>
      <c r="I101">
        <v>25</v>
      </c>
      <c r="J101">
        <v>2014</v>
      </c>
      <c r="K101">
        <v>1</v>
      </c>
      <c r="L101" t="s">
        <v>220</v>
      </c>
    </row>
    <row r="102" spans="1:12" x14ac:dyDescent="0.25">
      <c r="A102">
        <v>100</v>
      </c>
      <c r="B102" t="s">
        <v>235</v>
      </c>
      <c r="C102" t="s">
        <v>100</v>
      </c>
      <c r="D102" t="s">
        <v>1062</v>
      </c>
      <c r="E102" s="2">
        <v>102900000</v>
      </c>
      <c r="F102" s="3">
        <v>3307.1657</v>
      </c>
      <c r="G102" t="s">
        <v>108</v>
      </c>
      <c r="H102">
        <v>585</v>
      </c>
      <c r="I102">
        <v>15</v>
      </c>
      <c r="J102">
        <v>2015</v>
      </c>
      <c r="K102">
        <v>2</v>
      </c>
      <c r="L102" t="s">
        <v>236</v>
      </c>
    </row>
    <row r="103" spans="1:12" x14ac:dyDescent="0.25">
      <c r="A103">
        <v>101</v>
      </c>
      <c r="B103" t="s">
        <v>237</v>
      </c>
      <c r="C103" t="s">
        <v>23</v>
      </c>
      <c r="D103" t="s">
        <v>321</v>
      </c>
      <c r="E103" s="2">
        <v>13900000</v>
      </c>
      <c r="F103" s="3">
        <v>3279.2231000000002</v>
      </c>
      <c r="G103" t="s">
        <v>51</v>
      </c>
      <c r="H103">
        <v>50</v>
      </c>
      <c r="I103">
        <v>18</v>
      </c>
      <c r="J103">
        <v>2014</v>
      </c>
      <c r="K103">
        <v>1</v>
      </c>
      <c r="L103" t="s">
        <v>92</v>
      </c>
    </row>
    <row r="104" spans="1:12" x14ac:dyDescent="0.25">
      <c r="A104">
        <v>102</v>
      </c>
      <c r="B104" t="s">
        <v>238</v>
      </c>
      <c r="C104" t="s">
        <v>27</v>
      </c>
      <c r="D104" t="s">
        <v>1053</v>
      </c>
      <c r="E104" s="2">
        <v>9000000</v>
      </c>
      <c r="F104" s="3">
        <v>3244.549</v>
      </c>
      <c r="G104" t="s">
        <v>73</v>
      </c>
      <c r="H104">
        <v>86</v>
      </c>
      <c r="I104">
        <v>4</v>
      </c>
      <c r="J104">
        <v>2015</v>
      </c>
      <c r="K104">
        <v>1</v>
      </c>
      <c r="L104" t="s">
        <v>239</v>
      </c>
    </row>
    <row r="105" spans="1:12" x14ac:dyDescent="0.25">
      <c r="A105">
        <v>103</v>
      </c>
      <c r="B105" t="s">
        <v>240</v>
      </c>
      <c r="C105" t="s">
        <v>31</v>
      </c>
      <c r="D105" t="s">
        <v>1054</v>
      </c>
      <c r="E105" s="2">
        <v>33000000</v>
      </c>
      <c r="F105" s="3">
        <v>3215.1140999999998</v>
      </c>
      <c r="G105" t="s">
        <v>84</v>
      </c>
      <c r="H105">
        <v>151</v>
      </c>
      <c r="I105">
        <v>24</v>
      </c>
      <c r="J105">
        <v>2014</v>
      </c>
      <c r="K105">
        <v>1</v>
      </c>
      <c r="L105" t="s">
        <v>241</v>
      </c>
    </row>
    <row r="106" spans="1:12" x14ac:dyDescent="0.25">
      <c r="A106">
        <v>104</v>
      </c>
      <c r="B106" t="s">
        <v>242</v>
      </c>
      <c r="C106" t="s">
        <v>11</v>
      </c>
      <c r="D106" t="s">
        <v>1050</v>
      </c>
      <c r="E106" s="2">
        <v>14400000</v>
      </c>
      <c r="F106" s="3">
        <v>3210.2557000000002</v>
      </c>
      <c r="G106" t="s">
        <v>108</v>
      </c>
      <c r="H106">
        <v>46</v>
      </c>
      <c r="I106">
        <v>1</v>
      </c>
      <c r="J106">
        <v>2011</v>
      </c>
      <c r="K106">
        <v>1</v>
      </c>
      <c r="L106" t="s">
        <v>243</v>
      </c>
    </row>
    <row r="107" spans="1:12" x14ac:dyDescent="0.25">
      <c r="A107">
        <v>105</v>
      </c>
      <c r="B107" t="s">
        <v>244</v>
      </c>
      <c r="C107" t="s">
        <v>133</v>
      </c>
      <c r="D107" t="s">
        <v>1066</v>
      </c>
      <c r="E107" s="2">
        <v>11100000</v>
      </c>
      <c r="F107" s="3">
        <v>3205.607</v>
      </c>
      <c r="G107" t="s">
        <v>73</v>
      </c>
      <c r="H107">
        <v>180</v>
      </c>
      <c r="I107">
        <v>12</v>
      </c>
      <c r="J107">
        <v>2014</v>
      </c>
      <c r="K107">
        <v>2</v>
      </c>
      <c r="L107" t="s">
        <v>135</v>
      </c>
    </row>
    <row r="108" spans="1:12" x14ac:dyDescent="0.25">
      <c r="A108">
        <v>106</v>
      </c>
      <c r="B108" t="s">
        <v>245</v>
      </c>
      <c r="C108" t="s">
        <v>38</v>
      </c>
      <c r="D108" t="s">
        <v>1013</v>
      </c>
      <c r="E108" s="2">
        <v>3500000</v>
      </c>
      <c r="F108" s="3">
        <v>3201.1487999999999</v>
      </c>
      <c r="G108" t="s">
        <v>152</v>
      </c>
      <c r="H108">
        <v>18</v>
      </c>
      <c r="I108">
        <v>3</v>
      </c>
      <c r="J108">
        <v>2015</v>
      </c>
      <c r="K108">
        <v>1</v>
      </c>
      <c r="L108" t="s">
        <v>246</v>
      </c>
    </row>
    <row r="109" spans="1:12" x14ac:dyDescent="0.25">
      <c r="A109">
        <v>108</v>
      </c>
      <c r="B109" t="s">
        <v>247</v>
      </c>
      <c r="C109" t="s">
        <v>56</v>
      </c>
      <c r="D109" t="s">
        <v>1057</v>
      </c>
      <c r="E109" s="2">
        <v>7600000</v>
      </c>
      <c r="F109" s="3">
        <v>3135.6529</v>
      </c>
      <c r="G109" t="s">
        <v>73</v>
      </c>
      <c r="H109">
        <v>50</v>
      </c>
      <c r="I109">
        <v>8</v>
      </c>
      <c r="J109">
        <v>2015</v>
      </c>
      <c r="K109">
        <v>1</v>
      </c>
      <c r="L109" t="s">
        <v>57</v>
      </c>
    </row>
    <row r="110" spans="1:12" x14ac:dyDescent="0.25">
      <c r="A110">
        <v>109</v>
      </c>
      <c r="B110" t="s">
        <v>248</v>
      </c>
      <c r="C110" t="s">
        <v>31</v>
      </c>
      <c r="D110" t="s">
        <v>1054</v>
      </c>
      <c r="E110" s="2">
        <v>59300000</v>
      </c>
      <c r="F110" s="3">
        <v>3134.4692</v>
      </c>
      <c r="G110" t="s">
        <v>84</v>
      </c>
      <c r="H110">
        <v>145</v>
      </c>
      <c r="I110">
        <v>17</v>
      </c>
      <c r="J110">
        <v>2008</v>
      </c>
      <c r="K110">
        <v>3</v>
      </c>
      <c r="L110" t="s">
        <v>249</v>
      </c>
    </row>
    <row r="111" spans="1:12" x14ac:dyDescent="0.25">
      <c r="A111">
        <v>110</v>
      </c>
      <c r="B111" t="s">
        <v>250</v>
      </c>
      <c r="C111" t="s">
        <v>219</v>
      </c>
      <c r="D111" t="s">
        <v>1071</v>
      </c>
      <c r="E111" s="2">
        <v>4700000</v>
      </c>
      <c r="F111" s="3">
        <v>3099.3348000000001</v>
      </c>
      <c r="G111" t="s">
        <v>20</v>
      </c>
      <c r="H111">
        <v>10</v>
      </c>
      <c r="I111">
        <v>2</v>
      </c>
      <c r="J111">
        <v>2005</v>
      </c>
      <c r="K111">
        <v>2</v>
      </c>
      <c r="L111" t="s">
        <v>251</v>
      </c>
    </row>
    <row r="112" spans="1:12" x14ac:dyDescent="0.25">
      <c r="A112">
        <v>111</v>
      </c>
      <c r="B112" t="s">
        <v>252</v>
      </c>
      <c r="C112" t="s">
        <v>23</v>
      </c>
      <c r="D112" t="s">
        <v>321</v>
      </c>
      <c r="E112" s="2">
        <v>7800000</v>
      </c>
      <c r="F112" s="3">
        <v>3051.3321999999998</v>
      </c>
      <c r="G112" t="s">
        <v>84</v>
      </c>
      <c r="H112">
        <v>52</v>
      </c>
      <c r="I112">
        <v>12</v>
      </c>
      <c r="J112">
        <v>2002</v>
      </c>
      <c r="K112">
        <v>1</v>
      </c>
      <c r="L112" t="s">
        <v>253</v>
      </c>
    </row>
    <row r="113" spans="1:12" x14ac:dyDescent="0.25">
      <c r="A113">
        <v>112</v>
      </c>
      <c r="B113" t="s">
        <v>254</v>
      </c>
      <c r="C113" t="s">
        <v>38</v>
      </c>
      <c r="D113" t="s">
        <v>1013</v>
      </c>
      <c r="E113" s="2">
        <v>3800000</v>
      </c>
      <c r="F113" s="3">
        <v>3050.0025000000001</v>
      </c>
      <c r="G113" t="s">
        <v>3</v>
      </c>
      <c r="H113">
        <v>310</v>
      </c>
      <c r="I113">
        <v>30</v>
      </c>
      <c r="J113">
        <v>2015</v>
      </c>
      <c r="K113">
        <v>1</v>
      </c>
      <c r="L113" t="s">
        <v>255</v>
      </c>
    </row>
    <row r="114" spans="1:12" x14ac:dyDescent="0.25">
      <c r="A114">
        <v>113</v>
      </c>
      <c r="B114" t="s">
        <v>256</v>
      </c>
      <c r="C114" t="s">
        <v>11</v>
      </c>
      <c r="D114" t="s">
        <v>1050</v>
      </c>
      <c r="E114" s="2">
        <v>5100000</v>
      </c>
      <c r="F114" s="3">
        <v>3031.4203000000002</v>
      </c>
      <c r="G114" t="s">
        <v>24</v>
      </c>
      <c r="H114">
        <v>15</v>
      </c>
      <c r="I114">
        <v>2</v>
      </c>
      <c r="J114">
        <v>2015</v>
      </c>
      <c r="K114">
        <v>1</v>
      </c>
      <c r="L114" t="s">
        <v>13</v>
      </c>
    </row>
    <row r="115" spans="1:12" x14ac:dyDescent="0.25">
      <c r="A115">
        <v>114</v>
      </c>
      <c r="B115" t="s">
        <v>257</v>
      </c>
      <c r="C115" t="s">
        <v>50</v>
      </c>
      <c r="D115" t="s">
        <v>52</v>
      </c>
      <c r="E115" s="2">
        <v>6400000</v>
      </c>
      <c r="F115" s="3">
        <v>3026.3532</v>
      </c>
      <c r="G115" t="s">
        <v>12</v>
      </c>
      <c r="H115">
        <v>5</v>
      </c>
      <c r="I115">
        <v>3</v>
      </c>
      <c r="J115">
        <v>2010</v>
      </c>
      <c r="K115">
        <v>1</v>
      </c>
      <c r="L115" t="s">
        <v>52</v>
      </c>
    </row>
    <row r="116" spans="1:12" x14ac:dyDescent="0.25">
      <c r="A116">
        <v>115</v>
      </c>
      <c r="B116" t="s">
        <v>258</v>
      </c>
      <c r="C116" t="s">
        <v>38</v>
      </c>
      <c r="D116" t="s">
        <v>1013</v>
      </c>
      <c r="E116" s="2">
        <v>19000000</v>
      </c>
      <c r="F116" s="3">
        <v>3023.1327999999999</v>
      </c>
      <c r="G116" t="s">
        <v>73</v>
      </c>
      <c r="H116">
        <v>191</v>
      </c>
      <c r="I116">
        <v>46</v>
      </c>
      <c r="J116">
        <v>2013</v>
      </c>
      <c r="K116">
        <v>1</v>
      </c>
      <c r="L116" t="s">
        <v>76</v>
      </c>
    </row>
    <row r="117" spans="1:12" x14ac:dyDescent="0.25">
      <c r="A117">
        <v>116</v>
      </c>
      <c r="B117" t="s">
        <v>259</v>
      </c>
      <c r="C117" t="s">
        <v>151</v>
      </c>
      <c r="D117" t="s">
        <v>1067</v>
      </c>
      <c r="E117" s="2">
        <v>3300000</v>
      </c>
      <c r="F117" s="3">
        <v>2994.2887999999998</v>
      </c>
      <c r="G117" t="s">
        <v>108</v>
      </c>
      <c r="H117">
        <v>40</v>
      </c>
      <c r="I117">
        <v>1</v>
      </c>
      <c r="J117">
        <v>2015</v>
      </c>
      <c r="K117">
        <v>1</v>
      </c>
      <c r="L117" t="s">
        <v>153</v>
      </c>
    </row>
    <row r="118" spans="1:12" x14ac:dyDescent="0.25">
      <c r="A118">
        <v>117</v>
      </c>
      <c r="B118" t="s">
        <v>260</v>
      </c>
      <c r="C118" t="s">
        <v>56</v>
      </c>
      <c r="D118" t="s">
        <v>1057</v>
      </c>
      <c r="E118" s="2">
        <v>3100000</v>
      </c>
      <c r="F118" s="3">
        <v>2957.3530000000001</v>
      </c>
      <c r="G118" t="s">
        <v>261</v>
      </c>
      <c r="H118">
        <v>30</v>
      </c>
      <c r="I118">
        <v>3</v>
      </c>
      <c r="J118">
        <v>2015</v>
      </c>
      <c r="K118">
        <v>1</v>
      </c>
      <c r="L118" t="s">
        <v>57</v>
      </c>
    </row>
    <row r="119" spans="1:12" x14ac:dyDescent="0.25">
      <c r="A119">
        <v>118</v>
      </c>
      <c r="B119" t="s">
        <v>262</v>
      </c>
      <c r="C119" t="s">
        <v>56</v>
      </c>
      <c r="D119" t="s">
        <v>1057</v>
      </c>
      <c r="E119" s="2">
        <v>3700000</v>
      </c>
      <c r="F119" s="3">
        <v>2938.5448999999999</v>
      </c>
      <c r="G119" t="s">
        <v>7</v>
      </c>
      <c r="H119">
        <v>15</v>
      </c>
      <c r="I119">
        <v>1</v>
      </c>
      <c r="J119">
        <v>2014</v>
      </c>
      <c r="K119">
        <v>1</v>
      </c>
      <c r="L119" t="s">
        <v>57</v>
      </c>
    </row>
    <row r="120" spans="1:12" x14ac:dyDescent="0.25">
      <c r="A120">
        <v>119</v>
      </c>
      <c r="B120" t="s">
        <v>263</v>
      </c>
      <c r="C120" t="s">
        <v>38</v>
      </c>
      <c r="D120" t="s">
        <v>1013</v>
      </c>
      <c r="E120" s="2">
        <v>23600000</v>
      </c>
      <c r="F120" s="3">
        <v>2911.1745999999998</v>
      </c>
      <c r="G120" t="s">
        <v>139</v>
      </c>
      <c r="H120">
        <v>740</v>
      </c>
      <c r="I120">
        <v>5</v>
      </c>
      <c r="J120">
        <v>2013</v>
      </c>
      <c r="K120">
        <v>2</v>
      </c>
      <c r="L120" t="s">
        <v>264</v>
      </c>
    </row>
    <row r="121" spans="1:12" x14ac:dyDescent="0.25">
      <c r="A121">
        <v>120</v>
      </c>
      <c r="B121" t="s">
        <v>265</v>
      </c>
      <c r="C121" t="s">
        <v>107</v>
      </c>
      <c r="D121" t="s">
        <v>1064</v>
      </c>
      <c r="E121" s="2">
        <v>25800000</v>
      </c>
      <c r="F121" s="3">
        <v>2872.1059</v>
      </c>
      <c r="G121" t="s">
        <v>7</v>
      </c>
      <c r="H121">
        <v>37</v>
      </c>
      <c r="I121">
        <v>12</v>
      </c>
      <c r="J121">
        <v>2012</v>
      </c>
      <c r="K121">
        <v>1</v>
      </c>
      <c r="L121" t="s">
        <v>266</v>
      </c>
    </row>
    <row r="122" spans="1:12" x14ac:dyDescent="0.25">
      <c r="A122">
        <v>121</v>
      </c>
      <c r="B122" t="s">
        <v>267</v>
      </c>
      <c r="C122" t="s">
        <v>56</v>
      </c>
      <c r="D122" t="s">
        <v>1057</v>
      </c>
      <c r="E122" s="2">
        <v>12300000</v>
      </c>
      <c r="F122" s="3">
        <v>2861.2368999999999</v>
      </c>
      <c r="G122" t="s">
        <v>51</v>
      </c>
      <c r="H122">
        <v>66</v>
      </c>
      <c r="I122">
        <v>12</v>
      </c>
      <c r="J122">
        <v>2012</v>
      </c>
      <c r="K122">
        <v>1</v>
      </c>
      <c r="L122" t="s">
        <v>57</v>
      </c>
    </row>
    <row r="123" spans="1:12" x14ac:dyDescent="0.25">
      <c r="A123">
        <v>122</v>
      </c>
      <c r="B123" t="s">
        <v>268</v>
      </c>
      <c r="C123" t="s">
        <v>269</v>
      </c>
      <c r="D123" t="s">
        <v>1072</v>
      </c>
      <c r="E123" s="2">
        <v>6600000</v>
      </c>
      <c r="F123" s="3">
        <v>2812.6795999999999</v>
      </c>
      <c r="G123" t="s">
        <v>152</v>
      </c>
      <c r="H123">
        <v>60</v>
      </c>
      <c r="I123">
        <v>15</v>
      </c>
      <c r="J123">
        <v>2014</v>
      </c>
      <c r="K123">
        <v>1</v>
      </c>
      <c r="L123" t="s">
        <v>270</v>
      </c>
    </row>
    <row r="124" spans="1:12" x14ac:dyDescent="0.25">
      <c r="A124">
        <v>123</v>
      </c>
      <c r="B124" t="s">
        <v>271</v>
      </c>
      <c r="C124" t="s">
        <v>2</v>
      </c>
      <c r="D124" t="s">
        <v>1048</v>
      </c>
      <c r="E124" s="2">
        <v>79000000</v>
      </c>
      <c r="F124" s="3">
        <v>2804.9504000000002</v>
      </c>
      <c r="G124" t="s">
        <v>16</v>
      </c>
      <c r="H124">
        <v>196</v>
      </c>
      <c r="I124">
        <v>32</v>
      </c>
      <c r="J124">
        <v>2014</v>
      </c>
      <c r="K124">
        <v>1</v>
      </c>
      <c r="L124" t="s">
        <v>272</v>
      </c>
    </row>
    <row r="125" spans="1:12" x14ac:dyDescent="0.25">
      <c r="A125">
        <v>124</v>
      </c>
      <c r="B125" t="s">
        <v>273</v>
      </c>
      <c r="C125" t="s">
        <v>38</v>
      </c>
      <c r="D125" t="s">
        <v>1013</v>
      </c>
      <c r="E125" s="2">
        <v>3500000</v>
      </c>
      <c r="F125" s="3">
        <v>2795.4056999999998</v>
      </c>
      <c r="G125" t="s">
        <v>7</v>
      </c>
      <c r="H125">
        <v>19</v>
      </c>
      <c r="I125">
        <v>7</v>
      </c>
      <c r="J125">
        <v>2012</v>
      </c>
      <c r="K125">
        <v>1</v>
      </c>
      <c r="L125" t="s">
        <v>76</v>
      </c>
    </row>
    <row r="126" spans="1:12" x14ac:dyDescent="0.25">
      <c r="A126">
        <v>125</v>
      </c>
      <c r="B126" t="s">
        <v>274</v>
      </c>
      <c r="C126" t="s">
        <v>38</v>
      </c>
      <c r="D126" t="s">
        <v>1013</v>
      </c>
      <c r="E126" s="2">
        <v>38800000</v>
      </c>
      <c r="F126" s="3">
        <v>2781.5682000000002</v>
      </c>
      <c r="G126" t="s">
        <v>24</v>
      </c>
      <c r="H126">
        <v>375</v>
      </c>
      <c r="I126">
        <v>75</v>
      </c>
      <c r="J126">
        <v>2014</v>
      </c>
      <c r="K126">
        <v>1</v>
      </c>
      <c r="L126" t="s">
        <v>246</v>
      </c>
    </row>
    <row r="127" spans="1:12" x14ac:dyDescent="0.25">
      <c r="A127">
        <v>126</v>
      </c>
      <c r="B127" t="s">
        <v>275</v>
      </c>
      <c r="C127" t="s">
        <v>23</v>
      </c>
      <c r="D127" t="s">
        <v>321</v>
      </c>
      <c r="E127" s="2">
        <v>4700000</v>
      </c>
      <c r="F127" s="3">
        <v>2773.5884000000001</v>
      </c>
      <c r="G127" t="s">
        <v>152</v>
      </c>
      <c r="H127">
        <v>25</v>
      </c>
      <c r="I127">
        <v>5</v>
      </c>
      <c r="J127">
        <v>2015</v>
      </c>
      <c r="K127">
        <v>1</v>
      </c>
      <c r="L127" t="s">
        <v>276</v>
      </c>
    </row>
    <row r="128" spans="1:12" x14ac:dyDescent="0.25">
      <c r="A128">
        <v>127</v>
      </c>
      <c r="B128" t="s">
        <v>277</v>
      </c>
      <c r="C128" t="s">
        <v>35</v>
      </c>
      <c r="D128" t="s">
        <v>1055</v>
      </c>
      <c r="E128" s="2">
        <v>3200000</v>
      </c>
      <c r="F128" s="3">
        <v>2742.6432</v>
      </c>
      <c r="G128" t="s">
        <v>24</v>
      </c>
      <c r="H128">
        <v>8</v>
      </c>
      <c r="I128">
        <v>1</v>
      </c>
      <c r="J128">
        <v>2015</v>
      </c>
      <c r="K128">
        <v>1</v>
      </c>
      <c r="L128" t="s">
        <v>278</v>
      </c>
    </row>
    <row r="129" spans="1:12" x14ac:dyDescent="0.25">
      <c r="A129">
        <v>128</v>
      </c>
      <c r="B129" t="s">
        <v>279</v>
      </c>
      <c r="C129" t="s">
        <v>23</v>
      </c>
      <c r="D129" t="s">
        <v>321</v>
      </c>
      <c r="E129" s="2">
        <v>3200000</v>
      </c>
      <c r="F129" s="3">
        <v>2729.3507</v>
      </c>
      <c r="G129" t="s">
        <v>152</v>
      </c>
      <c r="H129">
        <v>20</v>
      </c>
      <c r="I129">
        <v>4</v>
      </c>
      <c r="J129">
        <v>2014</v>
      </c>
      <c r="K129">
        <v>1</v>
      </c>
      <c r="L129" t="s">
        <v>280</v>
      </c>
    </row>
    <row r="130" spans="1:12" x14ac:dyDescent="0.25">
      <c r="A130">
        <v>129</v>
      </c>
      <c r="B130" t="s">
        <v>281</v>
      </c>
      <c r="C130" t="s">
        <v>31</v>
      </c>
      <c r="D130" t="s">
        <v>1054</v>
      </c>
      <c r="E130" s="2">
        <v>30000000</v>
      </c>
      <c r="F130" s="3">
        <v>2728.9886000000001</v>
      </c>
      <c r="G130" t="s">
        <v>32</v>
      </c>
      <c r="H130">
        <v>125</v>
      </c>
      <c r="I130">
        <v>8</v>
      </c>
      <c r="J130">
        <v>2015</v>
      </c>
      <c r="K130">
        <v>1</v>
      </c>
      <c r="L130" t="s">
        <v>282</v>
      </c>
    </row>
    <row r="131" spans="1:12" x14ac:dyDescent="0.25">
      <c r="A131">
        <v>130</v>
      </c>
      <c r="B131" t="s">
        <v>283</v>
      </c>
      <c r="C131" t="s">
        <v>219</v>
      </c>
      <c r="D131" t="s">
        <v>1071</v>
      </c>
      <c r="E131" s="2">
        <v>3100000</v>
      </c>
      <c r="F131" s="3">
        <v>2704.9665</v>
      </c>
      <c r="G131" t="s">
        <v>97</v>
      </c>
      <c r="H131">
        <v>5</v>
      </c>
      <c r="I131">
        <v>1</v>
      </c>
      <c r="J131">
        <v>2015</v>
      </c>
      <c r="K131">
        <v>1</v>
      </c>
      <c r="L131" t="s">
        <v>220</v>
      </c>
    </row>
    <row r="132" spans="1:12" x14ac:dyDescent="0.25">
      <c r="A132">
        <v>131</v>
      </c>
      <c r="B132" t="s">
        <v>284</v>
      </c>
      <c r="C132" t="s">
        <v>56</v>
      </c>
      <c r="D132" t="s">
        <v>1057</v>
      </c>
      <c r="E132" s="2">
        <v>6700000</v>
      </c>
      <c r="F132" s="3">
        <v>2696.6318999999999</v>
      </c>
      <c r="G132" t="s">
        <v>152</v>
      </c>
      <c r="H132">
        <v>98</v>
      </c>
      <c r="I132">
        <v>12</v>
      </c>
      <c r="J132">
        <v>2013</v>
      </c>
      <c r="K132">
        <v>1</v>
      </c>
      <c r="L132" t="s">
        <v>57</v>
      </c>
    </row>
    <row r="133" spans="1:12" x14ac:dyDescent="0.25">
      <c r="A133">
        <v>132</v>
      </c>
      <c r="B133" t="s">
        <v>285</v>
      </c>
      <c r="C133" t="s">
        <v>2</v>
      </c>
      <c r="D133" t="s">
        <v>1048</v>
      </c>
      <c r="E133" s="2">
        <v>84800000</v>
      </c>
      <c r="F133" s="3">
        <v>2694.3301999999999</v>
      </c>
      <c r="G133" t="s">
        <v>24</v>
      </c>
      <c r="H133">
        <v>941</v>
      </c>
      <c r="I133">
        <v>51</v>
      </c>
      <c r="J133">
        <v>2014</v>
      </c>
      <c r="K133">
        <v>1</v>
      </c>
      <c r="L133" t="s">
        <v>286</v>
      </c>
    </row>
    <row r="134" spans="1:12" x14ac:dyDescent="0.25">
      <c r="A134">
        <v>133</v>
      </c>
      <c r="B134" t="s">
        <v>287</v>
      </c>
      <c r="C134" t="s">
        <v>50</v>
      </c>
      <c r="D134" t="s">
        <v>52</v>
      </c>
      <c r="E134" s="2">
        <v>12400000</v>
      </c>
      <c r="F134" s="3">
        <v>2689.6147999999998</v>
      </c>
      <c r="G134" t="s">
        <v>16</v>
      </c>
      <c r="H134">
        <v>11</v>
      </c>
      <c r="I134">
        <v>2</v>
      </c>
      <c r="J134">
        <v>2015</v>
      </c>
      <c r="K134">
        <v>1</v>
      </c>
      <c r="L134" t="s">
        <v>288</v>
      </c>
    </row>
    <row r="135" spans="1:12" x14ac:dyDescent="0.25">
      <c r="A135">
        <v>134</v>
      </c>
      <c r="B135" t="s">
        <v>289</v>
      </c>
      <c r="C135" t="s">
        <v>38</v>
      </c>
      <c r="D135" t="s">
        <v>1013</v>
      </c>
      <c r="E135" s="2">
        <v>38800000</v>
      </c>
      <c r="F135" s="3">
        <v>2678.5391</v>
      </c>
      <c r="G135" t="s">
        <v>130</v>
      </c>
      <c r="H135">
        <v>274</v>
      </c>
      <c r="I135">
        <v>54</v>
      </c>
      <c r="J135">
        <v>2013</v>
      </c>
      <c r="K135">
        <v>2</v>
      </c>
      <c r="L135" t="s">
        <v>290</v>
      </c>
    </row>
    <row r="136" spans="1:12" x14ac:dyDescent="0.25">
      <c r="A136">
        <v>135</v>
      </c>
      <c r="B136" t="s">
        <v>291</v>
      </c>
      <c r="C136" t="s">
        <v>19</v>
      </c>
      <c r="D136" t="s">
        <v>1052</v>
      </c>
      <c r="E136" s="2">
        <v>4000000</v>
      </c>
      <c r="F136" s="3">
        <v>2668.0059000000001</v>
      </c>
      <c r="G136" t="s">
        <v>73</v>
      </c>
      <c r="H136">
        <v>21</v>
      </c>
      <c r="I136">
        <v>5</v>
      </c>
      <c r="J136">
        <v>2015</v>
      </c>
      <c r="K136">
        <v>1</v>
      </c>
      <c r="L136" t="s">
        <v>292</v>
      </c>
    </row>
    <row r="137" spans="1:12" x14ac:dyDescent="0.25">
      <c r="A137">
        <v>136</v>
      </c>
      <c r="B137" t="s">
        <v>293</v>
      </c>
      <c r="C137" t="s">
        <v>11</v>
      </c>
      <c r="D137" t="s">
        <v>1050</v>
      </c>
      <c r="E137" s="2">
        <v>5400000</v>
      </c>
      <c r="F137" s="3">
        <v>2657.4126999999999</v>
      </c>
      <c r="G137" t="s">
        <v>24</v>
      </c>
      <c r="H137">
        <v>6</v>
      </c>
      <c r="I137">
        <v>2</v>
      </c>
      <c r="J137">
        <v>2015</v>
      </c>
      <c r="K137">
        <v>1</v>
      </c>
      <c r="L137" t="s">
        <v>294</v>
      </c>
    </row>
    <row r="138" spans="1:12" x14ac:dyDescent="0.25">
      <c r="A138">
        <v>137</v>
      </c>
      <c r="B138" t="s">
        <v>295</v>
      </c>
      <c r="C138" t="s">
        <v>50</v>
      </c>
      <c r="D138" t="s">
        <v>52</v>
      </c>
      <c r="E138" s="2">
        <v>6500000</v>
      </c>
      <c r="F138" s="3">
        <v>2635.922</v>
      </c>
      <c r="G138" t="s">
        <v>16</v>
      </c>
      <c r="H138">
        <v>6</v>
      </c>
      <c r="I138">
        <v>2</v>
      </c>
      <c r="J138">
        <v>2014</v>
      </c>
      <c r="K138">
        <v>1</v>
      </c>
      <c r="L138" t="s">
        <v>52</v>
      </c>
    </row>
    <row r="139" spans="1:12" x14ac:dyDescent="0.25">
      <c r="A139">
        <v>138</v>
      </c>
      <c r="B139" t="s">
        <v>296</v>
      </c>
      <c r="C139" t="s">
        <v>50</v>
      </c>
      <c r="D139" t="s">
        <v>52</v>
      </c>
      <c r="E139" s="2">
        <v>9800000</v>
      </c>
      <c r="F139" s="3">
        <v>2633.9524999999999</v>
      </c>
      <c r="G139" t="s">
        <v>119</v>
      </c>
      <c r="H139">
        <v>176</v>
      </c>
      <c r="I139">
        <v>10</v>
      </c>
      <c r="J139">
        <v>2014</v>
      </c>
      <c r="K139">
        <v>1</v>
      </c>
      <c r="L139" t="s">
        <v>52</v>
      </c>
    </row>
    <row r="140" spans="1:12" x14ac:dyDescent="0.25">
      <c r="A140">
        <v>139</v>
      </c>
      <c r="B140" t="s">
        <v>297</v>
      </c>
      <c r="C140" t="s">
        <v>27</v>
      </c>
      <c r="D140" t="s">
        <v>1053</v>
      </c>
      <c r="E140" s="2">
        <v>20400000</v>
      </c>
      <c r="F140" s="3">
        <v>2623.9495000000002</v>
      </c>
      <c r="G140" t="s">
        <v>69</v>
      </c>
      <c r="H140">
        <v>10</v>
      </c>
      <c r="I140">
        <v>2</v>
      </c>
      <c r="J140">
        <v>2013</v>
      </c>
      <c r="K140">
        <v>2</v>
      </c>
      <c r="L140" t="s">
        <v>298</v>
      </c>
    </row>
    <row r="141" spans="1:12" x14ac:dyDescent="0.25">
      <c r="A141">
        <v>140</v>
      </c>
      <c r="B141" t="s">
        <v>299</v>
      </c>
      <c r="C141" t="s">
        <v>50</v>
      </c>
      <c r="D141" t="s">
        <v>52</v>
      </c>
      <c r="E141" s="2">
        <v>3100000</v>
      </c>
      <c r="F141" s="3">
        <v>2620.7597999999998</v>
      </c>
      <c r="G141" t="s">
        <v>16</v>
      </c>
      <c r="H141">
        <v>4</v>
      </c>
      <c r="I141">
        <v>2</v>
      </c>
      <c r="J141">
        <v>2015</v>
      </c>
      <c r="K141">
        <v>1</v>
      </c>
      <c r="L141" t="s">
        <v>52</v>
      </c>
    </row>
    <row r="142" spans="1:12" x14ac:dyDescent="0.25">
      <c r="A142">
        <v>141</v>
      </c>
      <c r="B142" t="s">
        <v>300</v>
      </c>
      <c r="C142" t="s">
        <v>11</v>
      </c>
      <c r="D142" t="s">
        <v>1050</v>
      </c>
      <c r="E142" s="2">
        <v>7100000</v>
      </c>
      <c r="F142" s="3">
        <v>2618.0194999999999</v>
      </c>
      <c r="G142" t="s">
        <v>84</v>
      </c>
      <c r="H142">
        <v>12</v>
      </c>
      <c r="I142">
        <v>3</v>
      </c>
      <c r="J142">
        <v>2014</v>
      </c>
      <c r="K142">
        <v>1</v>
      </c>
      <c r="L142" t="s">
        <v>294</v>
      </c>
    </row>
    <row r="143" spans="1:12" x14ac:dyDescent="0.25">
      <c r="A143">
        <v>142</v>
      </c>
      <c r="B143" t="s">
        <v>301</v>
      </c>
      <c r="C143" t="s">
        <v>38</v>
      </c>
      <c r="D143" t="s">
        <v>1013</v>
      </c>
      <c r="E143" s="2">
        <v>101100000</v>
      </c>
      <c r="F143" s="3">
        <v>2603.3870999999999</v>
      </c>
      <c r="G143" t="s">
        <v>81</v>
      </c>
      <c r="H143">
        <v>358</v>
      </c>
      <c r="I143">
        <v>84</v>
      </c>
      <c r="J143">
        <v>2013</v>
      </c>
      <c r="K143">
        <v>2</v>
      </c>
      <c r="L143" t="s">
        <v>302</v>
      </c>
    </row>
    <row r="144" spans="1:12" x14ac:dyDescent="0.25">
      <c r="A144">
        <v>143</v>
      </c>
      <c r="B144" t="s">
        <v>303</v>
      </c>
      <c r="C144" t="s">
        <v>31</v>
      </c>
      <c r="D144" t="s">
        <v>1054</v>
      </c>
      <c r="E144" s="2">
        <v>25100000</v>
      </c>
      <c r="F144" s="3">
        <v>2596.3186000000001</v>
      </c>
      <c r="G144" t="s">
        <v>84</v>
      </c>
      <c r="H144">
        <v>145</v>
      </c>
      <c r="I144">
        <v>1</v>
      </c>
      <c r="J144">
        <v>2010</v>
      </c>
      <c r="K144">
        <v>2</v>
      </c>
      <c r="L144" t="s">
        <v>304</v>
      </c>
    </row>
    <row r="145" spans="1:12" x14ac:dyDescent="0.25">
      <c r="A145">
        <v>144</v>
      </c>
      <c r="B145" t="s">
        <v>305</v>
      </c>
      <c r="C145" t="s">
        <v>6</v>
      </c>
      <c r="D145" t="s">
        <v>1049</v>
      </c>
      <c r="E145" s="2">
        <v>4700000</v>
      </c>
      <c r="F145" s="3">
        <v>2578.6271999999999</v>
      </c>
      <c r="G145" t="s">
        <v>152</v>
      </c>
      <c r="H145">
        <v>4</v>
      </c>
      <c r="I145">
        <v>2</v>
      </c>
      <c r="J145">
        <v>2014</v>
      </c>
      <c r="K145">
        <v>1</v>
      </c>
      <c r="L145" t="s">
        <v>98</v>
      </c>
    </row>
    <row r="146" spans="1:12" x14ac:dyDescent="0.25">
      <c r="A146">
        <v>145</v>
      </c>
      <c r="B146" t="s">
        <v>306</v>
      </c>
      <c r="C146" t="s">
        <v>113</v>
      </c>
      <c r="D146" t="s">
        <v>1065</v>
      </c>
      <c r="E146" s="2">
        <v>3500000</v>
      </c>
      <c r="F146" s="3">
        <v>2564.3741</v>
      </c>
      <c r="G146" t="s">
        <v>108</v>
      </c>
      <c r="H146">
        <v>16</v>
      </c>
      <c r="I146">
        <v>2</v>
      </c>
      <c r="J146">
        <v>2013</v>
      </c>
      <c r="K146">
        <v>1</v>
      </c>
      <c r="L146" t="s">
        <v>307</v>
      </c>
    </row>
    <row r="147" spans="1:12" x14ac:dyDescent="0.25">
      <c r="A147">
        <v>146</v>
      </c>
      <c r="B147" t="s">
        <v>308</v>
      </c>
      <c r="C147" t="s">
        <v>31</v>
      </c>
      <c r="D147" t="s">
        <v>1054</v>
      </c>
      <c r="E147" s="2">
        <v>5400000</v>
      </c>
      <c r="F147" s="3">
        <v>2555.6570000000002</v>
      </c>
      <c r="G147" t="s">
        <v>84</v>
      </c>
      <c r="H147">
        <v>57</v>
      </c>
      <c r="I147">
        <v>1</v>
      </c>
      <c r="J147">
        <v>2010</v>
      </c>
      <c r="K147">
        <v>2</v>
      </c>
      <c r="L147" t="s">
        <v>309</v>
      </c>
    </row>
    <row r="148" spans="1:12" x14ac:dyDescent="0.25">
      <c r="A148">
        <v>147</v>
      </c>
      <c r="B148" t="s">
        <v>310</v>
      </c>
      <c r="C148" t="s">
        <v>203</v>
      </c>
      <c r="D148" t="s">
        <v>1070</v>
      </c>
      <c r="E148" s="2">
        <v>9200000</v>
      </c>
      <c r="F148" s="3">
        <v>2540.4144999999999</v>
      </c>
      <c r="G148" t="s">
        <v>7</v>
      </c>
      <c r="H148">
        <v>18</v>
      </c>
      <c r="I148">
        <v>1</v>
      </c>
      <c r="J148">
        <v>1999</v>
      </c>
      <c r="K148">
        <v>1</v>
      </c>
      <c r="L148" t="s">
        <v>204</v>
      </c>
    </row>
    <row r="149" spans="1:12" x14ac:dyDescent="0.25">
      <c r="A149">
        <v>148</v>
      </c>
      <c r="B149" t="s">
        <v>311</v>
      </c>
      <c r="C149" t="s">
        <v>312</v>
      </c>
      <c r="D149" t="s">
        <v>1073</v>
      </c>
      <c r="E149" s="2">
        <v>18500000</v>
      </c>
      <c r="F149" s="3">
        <v>2525.5636</v>
      </c>
      <c r="G149" t="s">
        <v>32</v>
      </c>
      <c r="H149">
        <v>36</v>
      </c>
      <c r="I149">
        <v>3</v>
      </c>
      <c r="J149">
        <v>2012</v>
      </c>
      <c r="K149">
        <v>2</v>
      </c>
      <c r="L149" t="s">
        <v>313</v>
      </c>
    </row>
    <row r="150" spans="1:12" x14ac:dyDescent="0.25">
      <c r="A150">
        <v>149</v>
      </c>
      <c r="B150" t="s">
        <v>314</v>
      </c>
      <c r="C150" t="s">
        <v>219</v>
      </c>
      <c r="D150" t="s">
        <v>1071</v>
      </c>
      <c r="E150" s="2">
        <v>2800000</v>
      </c>
      <c r="F150" s="3">
        <v>2514.3020999999999</v>
      </c>
      <c r="G150" t="s">
        <v>3</v>
      </c>
      <c r="H150">
        <v>12</v>
      </c>
      <c r="I150">
        <v>2</v>
      </c>
      <c r="J150">
        <v>2015</v>
      </c>
      <c r="K150">
        <v>1</v>
      </c>
      <c r="L150" t="s">
        <v>220</v>
      </c>
    </row>
    <row r="151" spans="1:12" x14ac:dyDescent="0.25">
      <c r="A151">
        <v>150</v>
      </c>
      <c r="B151" t="s">
        <v>315</v>
      </c>
      <c r="C151" t="s">
        <v>316</v>
      </c>
      <c r="D151" t="s">
        <v>1074</v>
      </c>
      <c r="E151" s="2">
        <v>5500000</v>
      </c>
      <c r="F151" s="3">
        <v>2506.9261999999999</v>
      </c>
      <c r="G151" t="s">
        <v>51</v>
      </c>
      <c r="H151">
        <v>55</v>
      </c>
      <c r="I151">
        <v>1</v>
      </c>
      <c r="J151">
        <v>2006</v>
      </c>
      <c r="K151">
        <v>2</v>
      </c>
      <c r="L151" t="s">
        <v>317</v>
      </c>
    </row>
    <row r="152" spans="1:12" x14ac:dyDescent="0.25">
      <c r="A152">
        <v>151</v>
      </c>
      <c r="B152" t="s">
        <v>318</v>
      </c>
      <c r="C152" t="s">
        <v>38</v>
      </c>
      <c r="D152" t="s">
        <v>1013</v>
      </c>
      <c r="E152" s="2">
        <v>4400000</v>
      </c>
      <c r="F152" s="3">
        <v>2482.3452000000002</v>
      </c>
      <c r="G152" t="s">
        <v>73</v>
      </c>
      <c r="H152">
        <v>55</v>
      </c>
      <c r="I152">
        <v>6</v>
      </c>
      <c r="J152">
        <v>2014</v>
      </c>
      <c r="K152">
        <v>1</v>
      </c>
      <c r="L152" t="s">
        <v>319</v>
      </c>
    </row>
    <row r="153" spans="1:12" x14ac:dyDescent="0.25">
      <c r="A153">
        <v>152</v>
      </c>
      <c r="B153" t="s">
        <v>320</v>
      </c>
      <c r="C153" t="s">
        <v>23</v>
      </c>
      <c r="D153" t="s">
        <v>321</v>
      </c>
      <c r="E153" s="2">
        <v>21800000</v>
      </c>
      <c r="F153" s="3">
        <v>2482.1293000000001</v>
      </c>
      <c r="G153" t="s">
        <v>108</v>
      </c>
      <c r="H153">
        <v>71</v>
      </c>
      <c r="I153">
        <v>21</v>
      </c>
      <c r="J153">
        <v>2015</v>
      </c>
      <c r="K153">
        <v>1</v>
      </c>
      <c r="L153" t="s">
        <v>321</v>
      </c>
    </row>
    <row r="154" spans="1:12" x14ac:dyDescent="0.25">
      <c r="A154">
        <v>153</v>
      </c>
      <c r="B154" t="s">
        <v>322</v>
      </c>
      <c r="C154" t="s">
        <v>323</v>
      </c>
      <c r="D154" t="s">
        <v>1075</v>
      </c>
      <c r="E154" s="2">
        <v>4400000</v>
      </c>
      <c r="F154" s="3">
        <v>2474.5437000000002</v>
      </c>
      <c r="G154" t="s">
        <v>73</v>
      </c>
      <c r="H154">
        <v>48</v>
      </c>
      <c r="I154">
        <v>20</v>
      </c>
      <c r="J154">
        <v>2011</v>
      </c>
      <c r="K154">
        <v>1</v>
      </c>
      <c r="L154" t="s">
        <v>324</v>
      </c>
    </row>
    <row r="155" spans="1:12" x14ac:dyDescent="0.25">
      <c r="A155">
        <v>154</v>
      </c>
      <c r="B155" t="s">
        <v>325</v>
      </c>
      <c r="C155" t="s">
        <v>23</v>
      </c>
      <c r="D155" t="s">
        <v>321</v>
      </c>
      <c r="E155" s="2">
        <v>28400000</v>
      </c>
      <c r="F155" s="3">
        <v>2470.116</v>
      </c>
      <c r="G155" t="s">
        <v>7</v>
      </c>
      <c r="H155">
        <v>350</v>
      </c>
      <c r="I155">
        <v>30</v>
      </c>
      <c r="J155">
        <v>2014</v>
      </c>
      <c r="K155">
        <v>2</v>
      </c>
      <c r="L155" t="s">
        <v>326</v>
      </c>
    </row>
    <row r="156" spans="1:12" x14ac:dyDescent="0.25">
      <c r="A156">
        <v>155</v>
      </c>
      <c r="B156" t="s">
        <v>327</v>
      </c>
      <c r="C156" t="s">
        <v>38</v>
      </c>
      <c r="D156" t="s">
        <v>1013</v>
      </c>
      <c r="E156" s="2">
        <v>4000000</v>
      </c>
      <c r="F156" s="3">
        <v>2465.5724</v>
      </c>
      <c r="G156" t="s">
        <v>3</v>
      </c>
      <c r="H156">
        <v>5</v>
      </c>
      <c r="I156">
        <v>1</v>
      </c>
      <c r="J156">
        <v>2013</v>
      </c>
      <c r="K156">
        <v>1</v>
      </c>
      <c r="L156" t="s">
        <v>328</v>
      </c>
    </row>
    <row r="157" spans="1:12" x14ac:dyDescent="0.25">
      <c r="A157">
        <v>156</v>
      </c>
      <c r="B157" t="s">
        <v>329</v>
      </c>
      <c r="C157" t="s">
        <v>155</v>
      </c>
      <c r="D157" t="s">
        <v>1068</v>
      </c>
      <c r="E157" s="2">
        <v>13600000</v>
      </c>
      <c r="F157" s="3">
        <v>2417.9715000000001</v>
      </c>
      <c r="G157" t="s">
        <v>73</v>
      </c>
      <c r="H157">
        <v>58</v>
      </c>
      <c r="I157">
        <v>5</v>
      </c>
      <c r="J157">
        <v>2015</v>
      </c>
      <c r="K157">
        <v>1</v>
      </c>
      <c r="L157" t="s">
        <v>156</v>
      </c>
    </row>
    <row r="158" spans="1:12" x14ac:dyDescent="0.25">
      <c r="A158">
        <v>157</v>
      </c>
      <c r="B158" t="s">
        <v>330</v>
      </c>
      <c r="C158" t="s">
        <v>38</v>
      </c>
      <c r="D158" t="s">
        <v>1013</v>
      </c>
      <c r="E158" s="2">
        <v>3000000</v>
      </c>
      <c r="F158" s="3">
        <v>2415.7359000000001</v>
      </c>
      <c r="G158" t="s">
        <v>84</v>
      </c>
      <c r="H158">
        <v>42</v>
      </c>
      <c r="I158">
        <v>5</v>
      </c>
      <c r="J158">
        <v>2005</v>
      </c>
      <c r="K158">
        <v>2</v>
      </c>
      <c r="L158" t="s">
        <v>331</v>
      </c>
    </row>
    <row r="159" spans="1:12" x14ac:dyDescent="0.25">
      <c r="A159">
        <v>158</v>
      </c>
      <c r="B159" t="s">
        <v>332</v>
      </c>
      <c r="C159" t="s">
        <v>50</v>
      </c>
      <c r="D159" t="s">
        <v>52</v>
      </c>
      <c r="E159" s="2">
        <v>20600000</v>
      </c>
      <c r="F159" s="3">
        <v>2412.1028999999999</v>
      </c>
      <c r="G159" t="s">
        <v>139</v>
      </c>
      <c r="H159">
        <v>545</v>
      </c>
      <c r="I159">
        <v>166</v>
      </c>
      <c r="J159">
        <v>2009</v>
      </c>
      <c r="K159">
        <v>8</v>
      </c>
      <c r="L159" t="s">
        <v>333</v>
      </c>
    </row>
    <row r="160" spans="1:12" x14ac:dyDescent="0.25">
      <c r="A160">
        <v>159</v>
      </c>
      <c r="B160" t="s">
        <v>334</v>
      </c>
      <c r="C160" t="s">
        <v>100</v>
      </c>
      <c r="D160" t="s">
        <v>1062</v>
      </c>
      <c r="E160" s="2">
        <v>3000000</v>
      </c>
      <c r="F160" s="3">
        <v>2391.8562999999999</v>
      </c>
      <c r="G160" t="s">
        <v>16</v>
      </c>
      <c r="H160">
        <v>15</v>
      </c>
      <c r="I160">
        <v>3</v>
      </c>
      <c r="J160">
        <v>2014</v>
      </c>
      <c r="K160">
        <v>1</v>
      </c>
      <c r="L160" t="s">
        <v>335</v>
      </c>
    </row>
    <row r="161" spans="1:12" x14ac:dyDescent="0.25">
      <c r="A161">
        <v>160</v>
      </c>
      <c r="B161" t="s">
        <v>336</v>
      </c>
      <c r="C161" t="s">
        <v>104</v>
      </c>
      <c r="D161" t="s">
        <v>1063</v>
      </c>
      <c r="E161" s="2">
        <v>4900000</v>
      </c>
      <c r="F161" s="3">
        <v>2383.9486000000002</v>
      </c>
      <c r="G161" t="s">
        <v>97</v>
      </c>
      <c r="H161">
        <v>36</v>
      </c>
      <c r="I161">
        <v>5</v>
      </c>
      <c r="J161">
        <v>2014</v>
      </c>
      <c r="K161">
        <v>1</v>
      </c>
      <c r="L161" t="s">
        <v>337</v>
      </c>
    </row>
    <row r="162" spans="1:12" x14ac:dyDescent="0.25">
      <c r="A162">
        <v>161</v>
      </c>
      <c r="B162" t="s">
        <v>338</v>
      </c>
      <c r="C162" t="s">
        <v>23</v>
      </c>
      <c r="D162" t="s">
        <v>321</v>
      </c>
      <c r="E162" s="2">
        <v>72300000</v>
      </c>
      <c r="F162" s="3">
        <v>2370.3591000000001</v>
      </c>
      <c r="G162" t="s">
        <v>130</v>
      </c>
      <c r="H162">
        <v>650</v>
      </c>
      <c r="I162">
        <v>200</v>
      </c>
      <c r="J162">
        <v>2010</v>
      </c>
      <c r="K162">
        <v>4</v>
      </c>
      <c r="L162" t="s">
        <v>280</v>
      </c>
    </row>
    <row r="163" spans="1:12" x14ac:dyDescent="0.25">
      <c r="A163">
        <v>162</v>
      </c>
      <c r="B163" t="s">
        <v>339</v>
      </c>
      <c r="C163" t="s">
        <v>11</v>
      </c>
      <c r="D163" t="s">
        <v>1050</v>
      </c>
      <c r="E163" s="2">
        <v>13300000</v>
      </c>
      <c r="F163" s="3">
        <v>2358.2483000000002</v>
      </c>
      <c r="G163" t="s">
        <v>81</v>
      </c>
      <c r="H163">
        <v>8</v>
      </c>
      <c r="I163">
        <v>2</v>
      </c>
      <c r="J163">
        <v>2015</v>
      </c>
      <c r="K163">
        <v>1</v>
      </c>
      <c r="L163" t="s">
        <v>13</v>
      </c>
    </row>
    <row r="164" spans="1:12" x14ac:dyDescent="0.25">
      <c r="A164">
        <v>163</v>
      </c>
      <c r="B164" t="s">
        <v>340</v>
      </c>
      <c r="C164" t="s">
        <v>23</v>
      </c>
      <c r="D164" t="s">
        <v>321</v>
      </c>
      <c r="E164" s="2">
        <v>2500000</v>
      </c>
      <c r="F164" s="3">
        <v>2356.7775999999999</v>
      </c>
      <c r="G164" t="s">
        <v>73</v>
      </c>
      <c r="H164">
        <v>60</v>
      </c>
      <c r="I164">
        <v>25</v>
      </c>
      <c r="J164">
        <v>2013</v>
      </c>
      <c r="K164">
        <v>1</v>
      </c>
      <c r="L164" t="s">
        <v>94</v>
      </c>
    </row>
    <row r="165" spans="1:12" x14ac:dyDescent="0.25">
      <c r="A165">
        <v>164</v>
      </c>
      <c r="B165" t="s">
        <v>341</v>
      </c>
      <c r="C165" t="s">
        <v>113</v>
      </c>
      <c r="D165" t="s">
        <v>1065</v>
      </c>
      <c r="E165" s="2">
        <v>15900000</v>
      </c>
      <c r="F165" s="3">
        <v>2354.4234999999999</v>
      </c>
      <c r="G165" t="s">
        <v>134</v>
      </c>
      <c r="H165">
        <v>100</v>
      </c>
      <c r="I165">
        <v>6</v>
      </c>
      <c r="J165">
        <v>2011</v>
      </c>
      <c r="K165">
        <v>1</v>
      </c>
      <c r="L165" t="s">
        <v>342</v>
      </c>
    </row>
    <row r="166" spans="1:12" x14ac:dyDescent="0.25">
      <c r="A166">
        <v>165</v>
      </c>
      <c r="B166" t="s">
        <v>343</v>
      </c>
      <c r="C166" t="s">
        <v>50</v>
      </c>
      <c r="D166" t="s">
        <v>52</v>
      </c>
      <c r="E166" s="2">
        <v>100800000</v>
      </c>
      <c r="F166" s="3">
        <v>2345.0086000000001</v>
      </c>
      <c r="G166" t="s">
        <v>16</v>
      </c>
      <c r="H166">
        <v>63</v>
      </c>
      <c r="I166">
        <v>11</v>
      </c>
      <c r="J166">
        <v>2013</v>
      </c>
      <c r="K166">
        <v>2</v>
      </c>
      <c r="L166" t="s">
        <v>52</v>
      </c>
    </row>
    <row r="167" spans="1:12" x14ac:dyDescent="0.25">
      <c r="A167">
        <v>166</v>
      </c>
      <c r="B167" t="s">
        <v>344</v>
      </c>
      <c r="C167" t="s">
        <v>107</v>
      </c>
      <c r="D167" t="s">
        <v>1064</v>
      </c>
      <c r="E167" s="2">
        <v>3000000</v>
      </c>
      <c r="F167" s="3">
        <v>2339.9301999999998</v>
      </c>
      <c r="G167" t="s">
        <v>16</v>
      </c>
      <c r="H167">
        <v>12</v>
      </c>
      <c r="I167">
        <v>3</v>
      </c>
      <c r="J167">
        <v>2013</v>
      </c>
      <c r="K167">
        <v>1</v>
      </c>
      <c r="L167" t="s">
        <v>266</v>
      </c>
    </row>
    <row r="168" spans="1:12" x14ac:dyDescent="0.25">
      <c r="A168">
        <v>167</v>
      </c>
      <c r="B168" t="s">
        <v>345</v>
      </c>
      <c r="C168" t="s">
        <v>23</v>
      </c>
      <c r="D168" t="s">
        <v>321</v>
      </c>
      <c r="E168" s="2">
        <v>15500000</v>
      </c>
      <c r="F168" s="3">
        <v>2313.8368999999998</v>
      </c>
      <c r="G168" t="s">
        <v>24</v>
      </c>
      <c r="H168">
        <v>40</v>
      </c>
      <c r="I168">
        <v>8</v>
      </c>
      <c r="J168">
        <v>2013</v>
      </c>
      <c r="K168">
        <v>1</v>
      </c>
      <c r="L168" t="s">
        <v>346</v>
      </c>
    </row>
    <row r="169" spans="1:12" x14ac:dyDescent="0.25">
      <c r="A169">
        <v>168</v>
      </c>
      <c r="B169" t="s">
        <v>347</v>
      </c>
      <c r="C169" t="s">
        <v>113</v>
      </c>
      <c r="D169" t="s">
        <v>1065</v>
      </c>
      <c r="E169" s="2">
        <v>53100000</v>
      </c>
      <c r="F169" s="3">
        <v>2305.0499</v>
      </c>
      <c r="G169" t="s">
        <v>84</v>
      </c>
      <c r="H169">
        <v>199</v>
      </c>
      <c r="I169">
        <v>2</v>
      </c>
      <c r="J169">
        <v>2014</v>
      </c>
      <c r="K169">
        <v>1</v>
      </c>
      <c r="L169" t="s">
        <v>307</v>
      </c>
    </row>
    <row r="170" spans="1:12" x14ac:dyDescent="0.25">
      <c r="A170">
        <v>169</v>
      </c>
      <c r="B170" t="s">
        <v>348</v>
      </c>
      <c r="C170" t="s">
        <v>11</v>
      </c>
      <c r="D170" t="s">
        <v>1050</v>
      </c>
      <c r="E170" s="2">
        <v>3100000</v>
      </c>
      <c r="F170" s="3">
        <v>2276.0888</v>
      </c>
      <c r="G170" t="s">
        <v>73</v>
      </c>
      <c r="H170">
        <v>36</v>
      </c>
      <c r="I170">
        <v>7</v>
      </c>
      <c r="J170">
        <v>2014</v>
      </c>
      <c r="K170">
        <v>1</v>
      </c>
      <c r="L170" t="s">
        <v>206</v>
      </c>
    </row>
    <row r="171" spans="1:12" x14ac:dyDescent="0.25">
      <c r="A171">
        <v>170</v>
      </c>
      <c r="B171" t="s">
        <v>349</v>
      </c>
      <c r="C171" t="s">
        <v>350</v>
      </c>
      <c r="D171" t="s">
        <v>1076</v>
      </c>
      <c r="E171" s="2">
        <v>6400000</v>
      </c>
      <c r="F171" s="3">
        <v>2274.4095000000002</v>
      </c>
      <c r="G171" t="s">
        <v>3</v>
      </c>
      <c r="H171">
        <v>90</v>
      </c>
      <c r="I171">
        <v>6</v>
      </c>
      <c r="J171">
        <v>2014</v>
      </c>
      <c r="K171">
        <v>2</v>
      </c>
      <c r="L171" t="s">
        <v>351</v>
      </c>
    </row>
    <row r="172" spans="1:12" x14ac:dyDescent="0.25">
      <c r="A172">
        <v>171</v>
      </c>
      <c r="B172" t="s">
        <v>352</v>
      </c>
      <c r="C172" t="s">
        <v>155</v>
      </c>
      <c r="D172" t="s">
        <v>1068</v>
      </c>
      <c r="E172" s="2">
        <v>3000000</v>
      </c>
      <c r="F172" s="3">
        <v>2262.8640999999998</v>
      </c>
      <c r="G172" t="s">
        <v>3</v>
      </c>
      <c r="H172">
        <v>30</v>
      </c>
      <c r="I172">
        <v>3</v>
      </c>
      <c r="J172">
        <v>2012</v>
      </c>
      <c r="K172">
        <v>1</v>
      </c>
      <c r="L172" t="s">
        <v>156</v>
      </c>
    </row>
    <row r="173" spans="1:12" x14ac:dyDescent="0.25">
      <c r="A173">
        <v>172</v>
      </c>
      <c r="B173" t="s">
        <v>353</v>
      </c>
      <c r="C173" t="s">
        <v>354</v>
      </c>
      <c r="D173" t="s">
        <v>1077</v>
      </c>
      <c r="E173" s="2">
        <v>5700000</v>
      </c>
      <c r="F173" s="3">
        <v>2248.4713000000002</v>
      </c>
      <c r="G173" t="s">
        <v>16</v>
      </c>
      <c r="H173">
        <v>8</v>
      </c>
      <c r="I173">
        <v>3</v>
      </c>
      <c r="J173">
        <v>2015</v>
      </c>
      <c r="K173">
        <v>1</v>
      </c>
      <c r="L173" t="s">
        <v>355</v>
      </c>
    </row>
    <row r="174" spans="1:12" x14ac:dyDescent="0.25">
      <c r="A174">
        <v>173</v>
      </c>
      <c r="B174" t="s">
        <v>356</v>
      </c>
      <c r="C174" t="s">
        <v>11</v>
      </c>
      <c r="D174" t="s">
        <v>1050</v>
      </c>
      <c r="E174" s="2">
        <v>17400000</v>
      </c>
      <c r="F174" s="3">
        <v>2240.0028000000002</v>
      </c>
      <c r="G174" t="s">
        <v>3</v>
      </c>
      <c r="H174">
        <v>48</v>
      </c>
      <c r="I174">
        <v>2</v>
      </c>
      <c r="J174">
        <v>2014</v>
      </c>
      <c r="K174">
        <v>2</v>
      </c>
      <c r="L174" t="s">
        <v>149</v>
      </c>
    </row>
    <row r="175" spans="1:12" x14ac:dyDescent="0.25">
      <c r="A175">
        <v>174</v>
      </c>
      <c r="B175" t="s">
        <v>357</v>
      </c>
      <c r="C175" t="s">
        <v>219</v>
      </c>
      <c r="D175" t="s">
        <v>1071</v>
      </c>
      <c r="E175" s="2">
        <v>2600000</v>
      </c>
      <c r="F175" s="3">
        <v>2235.9439000000002</v>
      </c>
      <c r="G175" t="s">
        <v>152</v>
      </c>
      <c r="H175">
        <v>30</v>
      </c>
      <c r="I175">
        <v>8</v>
      </c>
      <c r="J175">
        <v>2015</v>
      </c>
      <c r="K175">
        <v>1</v>
      </c>
      <c r="L175" t="s">
        <v>220</v>
      </c>
    </row>
    <row r="176" spans="1:12" x14ac:dyDescent="0.25">
      <c r="A176">
        <v>175</v>
      </c>
      <c r="B176" t="s">
        <v>358</v>
      </c>
      <c r="C176" t="s">
        <v>2</v>
      </c>
      <c r="D176" t="s">
        <v>1048</v>
      </c>
      <c r="E176" s="2">
        <v>14200000</v>
      </c>
      <c r="F176" s="3">
        <v>2233.8330999999998</v>
      </c>
      <c r="G176" t="s">
        <v>73</v>
      </c>
      <c r="H176">
        <v>105</v>
      </c>
      <c r="I176">
        <v>25</v>
      </c>
      <c r="J176">
        <v>2011</v>
      </c>
      <c r="K176">
        <v>3</v>
      </c>
      <c r="L176" t="s">
        <v>359</v>
      </c>
    </row>
    <row r="177" spans="1:12" x14ac:dyDescent="0.25">
      <c r="A177">
        <v>176</v>
      </c>
      <c r="B177" t="s">
        <v>360</v>
      </c>
      <c r="C177" t="s">
        <v>50</v>
      </c>
      <c r="D177" t="s">
        <v>52</v>
      </c>
      <c r="E177" s="2">
        <v>12000000</v>
      </c>
      <c r="F177" s="3">
        <v>2230.9276</v>
      </c>
      <c r="G177" t="s">
        <v>146</v>
      </c>
      <c r="H177">
        <v>80</v>
      </c>
      <c r="I177">
        <v>40</v>
      </c>
      <c r="J177">
        <v>2015</v>
      </c>
      <c r="K177">
        <v>1</v>
      </c>
      <c r="L177" t="s">
        <v>361</v>
      </c>
    </row>
    <row r="178" spans="1:12" x14ac:dyDescent="0.25">
      <c r="A178">
        <v>177</v>
      </c>
      <c r="B178" t="s">
        <v>362</v>
      </c>
      <c r="C178" t="s">
        <v>50</v>
      </c>
      <c r="D178" t="s">
        <v>52</v>
      </c>
      <c r="E178" s="2">
        <v>3300000</v>
      </c>
      <c r="F178" s="3">
        <v>2205.1824000000001</v>
      </c>
      <c r="G178" t="s">
        <v>3</v>
      </c>
      <c r="H178">
        <v>9</v>
      </c>
      <c r="I178">
        <v>2</v>
      </c>
      <c r="J178">
        <v>2015</v>
      </c>
      <c r="K178">
        <v>1</v>
      </c>
      <c r="L178" t="s">
        <v>361</v>
      </c>
    </row>
    <row r="179" spans="1:12" x14ac:dyDescent="0.25">
      <c r="A179">
        <v>178</v>
      </c>
      <c r="B179" t="s">
        <v>363</v>
      </c>
      <c r="C179" t="s">
        <v>38</v>
      </c>
      <c r="D179" t="s">
        <v>1013</v>
      </c>
      <c r="E179" s="2">
        <v>7000000</v>
      </c>
      <c r="F179" s="3">
        <v>2171.9647</v>
      </c>
      <c r="G179" t="s">
        <v>16</v>
      </c>
      <c r="H179">
        <v>18</v>
      </c>
      <c r="I179">
        <v>5</v>
      </c>
      <c r="J179">
        <v>2011</v>
      </c>
      <c r="K179">
        <v>1</v>
      </c>
      <c r="L179" t="s">
        <v>364</v>
      </c>
    </row>
    <row r="180" spans="1:12" x14ac:dyDescent="0.25">
      <c r="A180">
        <v>179</v>
      </c>
      <c r="B180" t="s">
        <v>365</v>
      </c>
      <c r="C180" t="s">
        <v>23</v>
      </c>
      <c r="D180" t="s">
        <v>321</v>
      </c>
      <c r="E180" s="2">
        <v>9900000</v>
      </c>
      <c r="F180" s="3">
        <v>2155.4069</v>
      </c>
      <c r="G180" t="s">
        <v>81</v>
      </c>
      <c r="H180">
        <v>50</v>
      </c>
      <c r="I180">
        <v>10</v>
      </c>
      <c r="J180">
        <v>2011</v>
      </c>
      <c r="K180">
        <v>1</v>
      </c>
      <c r="L180" t="s">
        <v>94</v>
      </c>
    </row>
    <row r="181" spans="1:12" x14ac:dyDescent="0.25">
      <c r="A181">
        <v>180</v>
      </c>
      <c r="B181" t="s">
        <v>366</v>
      </c>
      <c r="C181" t="s">
        <v>219</v>
      </c>
      <c r="D181" t="s">
        <v>1071</v>
      </c>
      <c r="E181" s="2">
        <v>10300000</v>
      </c>
      <c r="F181" s="3">
        <v>2142.2694999999999</v>
      </c>
      <c r="G181" t="s">
        <v>97</v>
      </c>
      <c r="H181">
        <v>13</v>
      </c>
      <c r="I181">
        <v>3</v>
      </c>
      <c r="J181">
        <v>2014</v>
      </c>
      <c r="K181">
        <v>1</v>
      </c>
      <c r="L181" t="s">
        <v>220</v>
      </c>
    </row>
    <row r="182" spans="1:12" x14ac:dyDescent="0.25">
      <c r="A182">
        <v>181</v>
      </c>
      <c r="B182" t="s">
        <v>367</v>
      </c>
      <c r="C182" t="s">
        <v>72</v>
      </c>
      <c r="D182" t="s">
        <v>1059</v>
      </c>
      <c r="E182" s="2">
        <v>3100000</v>
      </c>
      <c r="F182" s="3">
        <v>2142.0754000000002</v>
      </c>
      <c r="G182" t="s">
        <v>3</v>
      </c>
      <c r="H182">
        <v>41</v>
      </c>
      <c r="I182">
        <v>1</v>
      </c>
      <c r="J182">
        <v>2007</v>
      </c>
      <c r="K182">
        <v>1</v>
      </c>
      <c r="L182" t="s">
        <v>74</v>
      </c>
    </row>
    <row r="183" spans="1:12" x14ac:dyDescent="0.25">
      <c r="A183">
        <v>182</v>
      </c>
      <c r="B183" t="s">
        <v>368</v>
      </c>
      <c r="C183" t="s">
        <v>6</v>
      </c>
      <c r="D183" t="s">
        <v>1049</v>
      </c>
      <c r="E183" s="2">
        <v>4600000</v>
      </c>
      <c r="F183" s="3">
        <v>2138.2033999999999</v>
      </c>
      <c r="G183" t="s">
        <v>134</v>
      </c>
      <c r="H183">
        <v>55</v>
      </c>
      <c r="I183">
        <v>20</v>
      </c>
      <c r="J183">
        <v>2014</v>
      </c>
      <c r="K183">
        <v>1</v>
      </c>
      <c r="L183" t="s">
        <v>369</v>
      </c>
    </row>
    <row r="184" spans="1:12" x14ac:dyDescent="0.25">
      <c r="A184">
        <v>183</v>
      </c>
      <c r="B184" t="s">
        <v>370</v>
      </c>
      <c r="C184" t="s">
        <v>46</v>
      </c>
      <c r="D184" t="s">
        <v>397</v>
      </c>
      <c r="E184" s="2">
        <v>12800000</v>
      </c>
      <c r="F184" s="3">
        <v>2122.6612</v>
      </c>
      <c r="G184" t="s">
        <v>73</v>
      </c>
      <c r="H184">
        <v>100</v>
      </c>
      <c r="I184">
        <v>15</v>
      </c>
      <c r="J184">
        <v>2004</v>
      </c>
      <c r="K184">
        <v>2</v>
      </c>
      <c r="L184" t="s">
        <v>371</v>
      </c>
    </row>
    <row r="185" spans="1:12" x14ac:dyDescent="0.25">
      <c r="A185">
        <v>184</v>
      </c>
      <c r="B185" t="s">
        <v>372</v>
      </c>
      <c r="C185" t="s">
        <v>56</v>
      </c>
      <c r="D185" t="s">
        <v>1057</v>
      </c>
      <c r="E185" s="2">
        <v>2700000</v>
      </c>
      <c r="F185" s="3">
        <v>2116.4110000000001</v>
      </c>
      <c r="G185" t="s">
        <v>24</v>
      </c>
      <c r="H185">
        <v>64</v>
      </c>
      <c r="I185">
        <v>12</v>
      </c>
      <c r="J185">
        <v>2015</v>
      </c>
      <c r="K185">
        <v>1</v>
      </c>
      <c r="L185" t="s">
        <v>373</v>
      </c>
    </row>
    <row r="186" spans="1:12" x14ac:dyDescent="0.25">
      <c r="A186">
        <v>185</v>
      </c>
      <c r="B186" t="s">
        <v>374</v>
      </c>
      <c r="C186" t="s">
        <v>41</v>
      </c>
      <c r="D186" t="s">
        <v>1056</v>
      </c>
      <c r="E186" s="2">
        <v>85800000</v>
      </c>
      <c r="F186" s="3">
        <v>2112.1974</v>
      </c>
      <c r="G186" t="s">
        <v>152</v>
      </c>
      <c r="H186">
        <v>103</v>
      </c>
      <c r="I186">
        <v>3</v>
      </c>
      <c r="J186">
        <v>2014</v>
      </c>
      <c r="K186">
        <v>2</v>
      </c>
      <c r="L186" t="s">
        <v>42</v>
      </c>
    </row>
    <row r="187" spans="1:12" x14ac:dyDescent="0.25">
      <c r="A187">
        <v>186</v>
      </c>
      <c r="B187" t="s">
        <v>375</v>
      </c>
      <c r="C187" t="s">
        <v>31</v>
      </c>
      <c r="D187" t="s">
        <v>1054</v>
      </c>
      <c r="E187" s="2">
        <v>5400000</v>
      </c>
      <c r="F187" s="3">
        <v>2107.0365000000002</v>
      </c>
      <c r="G187" t="s">
        <v>108</v>
      </c>
      <c r="H187">
        <v>23</v>
      </c>
      <c r="I187">
        <v>1</v>
      </c>
      <c r="J187">
        <v>2015</v>
      </c>
      <c r="K187">
        <v>1</v>
      </c>
      <c r="L187" t="s">
        <v>376</v>
      </c>
    </row>
    <row r="188" spans="1:12" x14ac:dyDescent="0.25">
      <c r="A188">
        <v>187</v>
      </c>
      <c r="B188" t="s">
        <v>377</v>
      </c>
      <c r="C188" t="s">
        <v>38</v>
      </c>
      <c r="D188" t="s">
        <v>1013</v>
      </c>
      <c r="E188" s="2">
        <v>8199999.9999999991</v>
      </c>
      <c r="F188" s="3">
        <v>2100.9602</v>
      </c>
      <c r="G188" t="s">
        <v>12</v>
      </c>
      <c r="H188">
        <v>15</v>
      </c>
      <c r="I188">
        <v>1</v>
      </c>
      <c r="J188">
        <v>2013</v>
      </c>
      <c r="K188">
        <v>1</v>
      </c>
      <c r="L188" t="s">
        <v>63</v>
      </c>
    </row>
    <row r="189" spans="1:12" x14ac:dyDescent="0.25">
      <c r="A189">
        <v>188</v>
      </c>
      <c r="B189" t="s">
        <v>378</v>
      </c>
      <c r="C189" t="s">
        <v>56</v>
      </c>
      <c r="D189" t="s">
        <v>1057</v>
      </c>
      <c r="E189" s="2">
        <v>6900000</v>
      </c>
      <c r="F189" s="3">
        <v>2099.2096999999999</v>
      </c>
      <c r="G189" t="s">
        <v>12</v>
      </c>
      <c r="H189">
        <v>142</v>
      </c>
      <c r="I189">
        <v>6</v>
      </c>
      <c r="J189">
        <v>2015</v>
      </c>
      <c r="K189">
        <v>1</v>
      </c>
      <c r="L189" t="s">
        <v>57</v>
      </c>
    </row>
    <row r="190" spans="1:12" x14ac:dyDescent="0.25">
      <c r="A190">
        <v>189</v>
      </c>
      <c r="B190" t="s">
        <v>379</v>
      </c>
      <c r="C190" t="s">
        <v>316</v>
      </c>
      <c r="D190" t="s">
        <v>1074</v>
      </c>
      <c r="E190" s="2">
        <v>7200000</v>
      </c>
      <c r="F190" s="3">
        <v>2097.5284999999999</v>
      </c>
      <c r="G190" t="s">
        <v>20</v>
      </c>
      <c r="H190">
        <v>18</v>
      </c>
      <c r="I190">
        <v>3</v>
      </c>
      <c r="J190">
        <v>2013</v>
      </c>
      <c r="K190">
        <v>2</v>
      </c>
      <c r="L190" t="s">
        <v>317</v>
      </c>
    </row>
    <row r="191" spans="1:12" x14ac:dyDescent="0.25">
      <c r="A191">
        <v>190</v>
      </c>
      <c r="B191" t="s">
        <v>380</v>
      </c>
      <c r="C191" t="s">
        <v>27</v>
      </c>
      <c r="D191" t="s">
        <v>1053</v>
      </c>
      <c r="E191" s="2">
        <v>12700000</v>
      </c>
      <c r="F191" s="3">
        <v>2095.6151</v>
      </c>
      <c r="G191" t="s">
        <v>12</v>
      </c>
      <c r="H191">
        <v>28</v>
      </c>
      <c r="I191">
        <v>2</v>
      </c>
      <c r="J191">
        <v>2014</v>
      </c>
      <c r="K191">
        <v>1</v>
      </c>
      <c r="L191" t="s">
        <v>381</v>
      </c>
    </row>
    <row r="192" spans="1:12" x14ac:dyDescent="0.25">
      <c r="A192">
        <v>191</v>
      </c>
      <c r="B192" t="s">
        <v>382</v>
      </c>
      <c r="C192" t="s">
        <v>56</v>
      </c>
      <c r="D192" t="s">
        <v>1057</v>
      </c>
      <c r="E192" s="2">
        <v>4099999.9999999995</v>
      </c>
      <c r="F192" s="3">
        <v>2081.8944999999999</v>
      </c>
      <c r="G192" t="s">
        <v>97</v>
      </c>
      <c r="H192">
        <v>14</v>
      </c>
      <c r="I192">
        <v>1</v>
      </c>
      <c r="J192">
        <v>2015</v>
      </c>
      <c r="K192">
        <v>1</v>
      </c>
      <c r="L192" t="s">
        <v>57</v>
      </c>
    </row>
    <row r="193" spans="1:12" x14ac:dyDescent="0.25">
      <c r="A193">
        <v>192</v>
      </c>
      <c r="B193" t="s">
        <v>383</v>
      </c>
      <c r="C193" t="s">
        <v>31</v>
      </c>
      <c r="D193" t="s">
        <v>1054</v>
      </c>
      <c r="E193" s="2">
        <v>24700000</v>
      </c>
      <c r="F193" s="3">
        <v>2077.0156000000002</v>
      </c>
      <c r="G193" t="s">
        <v>84</v>
      </c>
      <c r="H193">
        <v>350</v>
      </c>
      <c r="I193">
        <v>35</v>
      </c>
      <c r="J193">
        <v>1995</v>
      </c>
      <c r="K193">
        <v>4</v>
      </c>
      <c r="L193" t="s">
        <v>309</v>
      </c>
    </row>
    <row r="194" spans="1:12" x14ac:dyDescent="0.25">
      <c r="A194">
        <v>193</v>
      </c>
      <c r="B194" t="s">
        <v>384</v>
      </c>
      <c r="C194" t="s">
        <v>113</v>
      </c>
      <c r="D194" t="s">
        <v>1065</v>
      </c>
      <c r="E194" s="2">
        <v>4500000</v>
      </c>
      <c r="F194" s="3">
        <v>2076.8838999999998</v>
      </c>
      <c r="G194" t="s">
        <v>84</v>
      </c>
      <c r="H194">
        <v>10</v>
      </c>
      <c r="I194">
        <v>2</v>
      </c>
      <c r="J194">
        <v>2009</v>
      </c>
      <c r="K194">
        <v>1</v>
      </c>
      <c r="L194" t="s">
        <v>385</v>
      </c>
    </row>
    <row r="195" spans="1:12" x14ac:dyDescent="0.25">
      <c r="A195">
        <v>194</v>
      </c>
      <c r="B195" t="s">
        <v>386</v>
      </c>
      <c r="C195" t="s">
        <v>23</v>
      </c>
      <c r="D195" t="s">
        <v>321</v>
      </c>
      <c r="E195" s="2">
        <v>32900000</v>
      </c>
      <c r="F195" s="3">
        <v>2068.4929000000002</v>
      </c>
      <c r="G195" t="s">
        <v>7</v>
      </c>
      <c r="H195">
        <v>45</v>
      </c>
      <c r="I195">
        <v>4</v>
      </c>
      <c r="J195">
        <v>2014</v>
      </c>
      <c r="K195">
        <v>1</v>
      </c>
      <c r="L195" t="s">
        <v>387</v>
      </c>
    </row>
    <row r="196" spans="1:12" x14ac:dyDescent="0.25">
      <c r="A196">
        <v>195</v>
      </c>
      <c r="B196" t="s">
        <v>388</v>
      </c>
      <c r="C196" t="s">
        <v>38</v>
      </c>
      <c r="D196" t="s">
        <v>1013</v>
      </c>
      <c r="E196" s="2">
        <v>2200000</v>
      </c>
      <c r="F196" s="3">
        <v>2047.1978999999999</v>
      </c>
      <c r="G196" t="s">
        <v>81</v>
      </c>
      <c r="H196">
        <v>10</v>
      </c>
      <c r="I196">
        <v>2</v>
      </c>
      <c r="J196">
        <v>2014</v>
      </c>
      <c r="K196">
        <v>1</v>
      </c>
      <c r="L196" t="s">
        <v>389</v>
      </c>
    </row>
    <row r="197" spans="1:12" x14ac:dyDescent="0.25">
      <c r="A197">
        <v>196</v>
      </c>
      <c r="B197" t="s">
        <v>390</v>
      </c>
      <c r="C197" t="s">
        <v>38</v>
      </c>
      <c r="D197" t="s">
        <v>1013</v>
      </c>
      <c r="E197" s="2">
        <v>3600000</v>
      </c>
      <c r="F197" s="3">
        <v>2037.4483</v>
      </c>
      <c r="G197" t="s">
        <v>87</v>
      </c>
      <c r="H197">
        <v>62</v>
      </c>
      <c r="I197">
        <v>5</v>
      </c>
      <c r="J197">
        <v>2014</v>
      </c>
      <c r="K197">
        <v>1</v>
      </c>
      <c r="L197" t="s">
        <v>391</v>
      </c>
    </row>
    <row r="198" spans="1:12" x14ac:dyDescent="0.25">
      <c r="A198">
        <v>197</v>
      </c>
      <c r="B198" t="s">
        <v>392</v>
      </c>
      <c r="C198" t="s">
        <v>113</v>
      </c>
      <c r="D198" t="s">
        <v>1065</v>
      </c>
      <c r="E198" s="2">
        <v>20800000</v>
      </c>
      <c r="F198" s="3">
        <v>2037.0893000000001</v>
      </c>
      <c r="G198" t="s">
        <v>84</v>
      </c>
      <c r="H198">
        <v>60</v>
      </c>
      <c r="I198">
        <v>10</v>
      </c>
      <c r="J198">
        <v>2012</v>
      </c>
      <c r="K198">
        <v>3</v>
      </c>
      <c r="L198" t="s">
        <v>393</v>
      </c>
    </row>
    <row r="199" spans="1:12" x14ac:dyDescent="0.25">
      <c r="A199">
        <v>198</v>
      </c>
      <c r="B199" t="s">
        <v>394</v>
      </c>
      <c r="C199" t="s">
        <v>78</v>
      </c>
      <c r="D199" t="s">
        <v>1060</v>
      </c>
      <c r="E199" s="2">
        <v>3600000</v>
      </c>
      <c r="F199" s="3">
        <v>2029.6605999999999</v>
      </c>
      <c r="G199" t="s">
        <v>73</v>
      </c>
      <c r="H199">
        <v>18</v>
      </c>
      <c r="I199">
        <v>4</v>
      </c>
      <c r="J199">
        <v>2013</v>
      </c>
      <c r="K199">
        <v>1</v>
      </c>
      <c r="L199" t="s">
        <v>79</v>
      </c>
    </row>
    <row r="200" spans="1:12" x14ac:dyDescent="0.25">
      <c r="A200">
        <v>199</v>
      </c>
      <c r="B200" t="s">
        <v>395</v>
      </c>
      <c r="C200" t="s">
        <v>396</v>
      </c>
      <c r="D200" t="s">
        <v>1078</v>
      </c>
      <c r="E200" s="2">
        <v>14300000</v>
      </c>
      <c r="F200" s="3">
        <v>2026.9981</v>
      </c>
      <c r="G200" t="s">
        <v>3</v>
      </c>
      <c r="H200">
        <v>30</v>
      </c>
      <c r="I200">
        <v>1</v>
      </c>
      <c r="J200">
        <v>2015</v>
      </c>
      <c r="K200">
        <v>1</v>
      </c>
      <c r="L200" t="s">
        <v>397</v>
      </c>
    </row>
    <row r="201" spans="1:12" x14ac:dyDescent="0.25">
      <c r="A201">
        <v>200</v>
      </c>
      <c r="B201" t="s">
        <v>398</v>
      </c>
      <c r="C201" t="s">
        <v>38</v>
      </c>
      <c r="D201" t="s">
        <v>1013</v>
      </c>
      <c r="E201" s="2">
        <v>4000000</v>
      </c>
      <c r="F201" s="3">
        <v>2018.2299</v>
      </c>
      <c r="G201" t="s">
        <v>73</v>
      </c>
      <c r="H201">
        <v>23</v>
      </c>
      <c r="I201">
        <v>8</v>
      </c>
      <c r="J201">
        <v>2014</v>
      </c>
      <c r="K201">
        <v>2</v>
      </c>
      <c r="L201" t="s">
        <v>399</v>
      </c>
    </row>
    <row r="202" spans="1:12" x14ac:dyDescent="0.25">
      <c r="A202">
        <v>201</v>
      </c>
      <c r="B202" t="s">
        <v>400</v>
      </c>
      <c r="C202" t="s">
        <v>350</v>
      </c>
      <c r="D202" t="s">
        <v>1076</v>
      </c>
      <c r="E202" s="2">
        <v>138400000</v>
      </c>
      <c r="F202" s="3">
        <v>2013.4739999999999</v>
      </c>
      <c r="G202" t="s">
        <v>3</v>
      </c>
      <c r="H202">
        <v>102</v>
      </c>
      <c r="I202">
        <v>27</v>
      </c>
      <c r="J202">
        <v>2005</v>
      </c>
      <c r="K202">
        <v>1</v>
      </c>
      <c r="L202" t="s">
        <v>401</v>
      </c>
    </row>
    <row r="203" spans="1:12" x14ac:dyDescent="0.25">
      <c r="A203">
        <v>202</v>
      </c>
      <c r="B203" t="s">
        <v>402</v>
      </c>
      <c r="C203" t="s">
        <v>219</v>
      </c>
      <c r="D203" t="s">
        <v>1071</v>
      </c>
      <c r="E203" s="2">
        <v>40500000</v>
      </c>
      <c r="F203" s="3">
        <v>2007.0455999999999</v>
      </c>
      <c r="G203" t="s">
        <v>152</v>
      </c>
      <c r="H203">
        <v>2330</v>
      </c>
      <c r="I203">
        <v>220</v>
      </c>
      <c r="J203">
        <v>2015</v>
      </c>
      <c r="K203">
        <v>1</v>
      </c>
      <c r="L203" t="s">
        <v>403</v>
      </c>
    </row>
    <row r="204" spans="1:12" x14ac:dyDescent="0.25">
      <c r="A204">
        <v>203</v>
      </c>
      <c r="B204" t="s">
        <v>404</v>
      </c>
      <c r="C204" t="s">
        <v>38</v>
      </c>
      <c r="D204" t="s">
        <v>1013</v>
      </c>
      <c r="E204" s="2">
        <v>2300000</v>
      </c>
      <c r="F204" s="3">
        <v>2004.3858</v>
      </c>
      <c r="G204" t="s">
        <v>32</v>
      </c>
      <c r="H204">
        <v>5</v>
      </c>
      <c r="I204">
        <v>2</v>
      </c>
      <c r="J204">
        <v>2013</v>
      </c>
      <c r="K204">
        <v>1</v>
      </c>
      <c r="L204" t="s">
        <v>405</v>
      </c>
    </row>
    <row r="205" spans="1:12" x14ac:dyDescent="0.25">
      <c r="A205">
        <v>204</v>
      </c>
      <c r="B205" t="s">
        <v>406</v>
      </c>
      <c r="C205" t="s">
        <v>38</v>
      </c>
      <c r="D205" t="s">
        <v>1013</v>
      </c>
      <c r="E205" s="2">
        <v>2200000</v>
      </c>
      <c r="F205" s="3">
        <v>1996.5182</v>
      </c>
      <c r="G205" t="s">
        <v>108</v>
      </c>
      <c r="H205">
        <v>5</v>
      </c>
      <c r="I205">
        <v>1</v>
      </c>
      <c r="J205">
        <v>2014</v>
      </c>
      <c r="K205">
        <v>1</v>
      </c>
      <c r="L205" t="s">
        <v>407</v>
      </c>
    </row>
    <row r="206" spans="1:12" x14ac:dyDescent="0.25">
      <c r="A206">
        <v>205</v>
      </c>
      <c r="B206" t="s">
        <v>408</v>
      </c>
      <c r="C206" t="s">
        <v>23</v>
      </c>
      <c r="D206" t="s">
        <v>321</v>
      </c>
      <c r="E206" s="2">
        <v>37500000</v>
      </c>
      <c r="F206" s="3">
        <v>1987.4327000000001</v>
      </c>
      <c r="G206" t="s">
        <v>16</v>
      </c>
      <c r="H206">
        <v>25</v>
      </c>
      <c r="I206">
        <v>3</v>
      </c>
      <c r="J206">
        <v>2014</v>
      </c>
      <c r="K206">
        <v>1</v>
      </c>
      <c r="L206" t="s">
        <v>409</v>
      </c>
    </row>
    <row r="207" spans="1:12" x14ac:dyDescent="0.25">
      <c r="A207">
        <v>206</v>
      </c>
      <c r="B207" t="s">
        <v>410</v>
      </c>
      <c r="C207" t="s">
        <v>23</v>
      </c>
      <c r="D207" t="s">
        <v>321</v>
      </c>
      <c r="E207" s="2">
        <v>5100000</v>
      </c>
      <c r="F207" s="3">
        <v>1972.0256999999999</v>
      </c>
      <c r="G207" t="s">
        <v>97</v>
      </c>
      <c r="H207">
        <v>29</v>
      </c>
      <c r="I207">
        <v>3</v>
      </c>
      <c r="J207">
        <v>2011</v>
      </c>
      <c r="K207">
        <v>2</v>
      </c>
      <c r="L207" t="s">
        <v>411</v>
      </c>
    </row>
    <row r="208" spans="1:12" x14ac:dyDescent="0.25">
      <c r="A208">
        <v>207</v>
      </c>
      <c r="B208" t="s">
        <v>412</v>
      </c>
      <c r="C208" t="s">
        <v>413</v>
      </c>
      <c r="D208" t="s">
        <v>1079</v>
      </c>
      <c r="E208" s="2">
        <v>113500000</v>
      </c>
      <c r="F208" s="3">
        <v>1967.9181000000001</v>
      </c>
      <c r="G208" t="s">
        <v>87</v>
      </c>
      <c r="H208">
        <v>250</v>
      </c>
      <c r="I208">
        <v>50</v>
      </c>
      <c r="J208">
        <v>2013</v>
      </c>
      <c r="K208">
        <v>2</v>
      </c>
      <c r="L208" t="s">
        <v>414</v>
      </c>
    </row>
    <row r="209" spans="1:12" x14ac:dyDescent="0.25">
      <c r="A209">
        <v>208</v>
      </c>
      <c r="B209" t="s">
        <v>415</v>
      </c>
      <c r="C209" t="s">
        <v>23</v>
      </c>
      <c r="D209" t="s">
        <v>321</v>
      </c>
      <c r="E209" s="2">
        <v>3900000</v>
      </c>
      <c r="F209" s="3">
        <v>1963.2293</v>
      </c>
      <c r="G209" t="s">
        <v>3</v>
      </c>
      <c r="H209">
        <v>23</v>
      </c>
      <c r="I209">
        <v>5</v>
      </c>
      <c r="J209">
        <v>2014</v>
      </c>
      <c r="K209">
        <v>1</v>
      </c>
      <c r="L209" t="s">
        <v>416</v>
      </c>
    </row>
    <row r="210" spans="1:12" x14ac:dyDescent="0.25">
      <c r="A210">
        <v>209</v>
      </c>
      <c r="B210" t="s">
        <v>417</v>
      </c>
      <c r="C210" t="s">
        <v>6</v>
      </c>
      <c r="D210" t="s">
        <v>1049</v>
      </c>
      <c r="E210" s="2">
        <v>22300000</v>
      </c>
      <c r="F210" s="3">
        <v>1952.8258000000001</v>
      </c>
      <c r="G210" t="s">
        <v>3</v>
      </c>
      <c r="H210">
        <v>42</v>
      </c>
      <c r="I210">
        <v>14</v>
      </c>
      <c r="J210">
        <v>2011</v>
      </c>
      <c r="K210">
        <v>1</v>
      </c>
      <c r="L210" t="s">
        <v>418</v>
      </c>
    </row>
    <row r="211" spans="1:12" x14ac:dyDescent="0.25">
      <c r="A211">
        <v>210</v>
      </c>
      <c r="B211" t="s">
        <v>419</v>
      </c>
      <c r="C211" t="s">
        <v>350</v>
      </c>
      <c r="D211" t="s">
        <v>1076</v>
      </c>
      <c r="E211" s="2">
        <v>3600000</v>
      </c>
      <c r="F211" s="3">
        <v>1944.0214000000001</v>
      </c>
      <c r="G211" t="s">
        <v>108</v>
      </c>
      <c r="H211">
        <v>28</v>
      </c>
      <c r="I211">
        <v>4</v>
      </c>
      <c r="J211">
        <v>2015</v>
      </c>
      <c r="K211">
        <v>1</v>
      </c>
      <c r="L211" t="s">
        <v>420</v>
      </c>
    </row>
    <row r="212" spans="1:12" x14ac:dyDescent="0.25">
      <c r="A212">
        <v>211</v>
      </c>
      <c r="B212" t="s">
        <v>421</v>
      </c>
      <c r="C212" t="s">
        <v>422</v>
      </c>
      <c r="D212" t="s">
        <v>1014</v>
      </c>
      <c r="E212" s="2">
        <v>4400000</v>
      </c>
      <c r="F212" s="3">
        <v>1939.8376000000001</v>
      </c>
      <c r="G212" t="s">
        <v>261</v>
      </c>
      <c r="H212">
        <v>8</v>
      </c>
      <c r="I212">
        <v>1</v>
      </c>
      <c r="J212">
        <v>2015</v>
      </c>
      <c r="K212">
        <v>1</v>
      </c>
      <c r="L212" t="s">
        <v>423</v>
      </c>
    </row>
    <row r="213" spans="1:12" x14ac:dyDescent="0.25">
      <c r="A213">
        <v>212</v>
      </c>
      <c r="B213" t="s">
        <v>424</v>
      </c>
      <c r="C213" t="s">
        <v>50</v>
      </c>
      <c r="D213" t="s">
        <v>52</v>
      </c>
      <c r="E213" s="2">
        <v>61100000</v>
      </c>
      <c r="F213" s="3">
        <v>1938.0352</v>
      </c>
      <c r="G213" t="s">
        <v>24</v>
      </c>
      <c r="H213">
        <v>1246</v>
      </c>
      <c r="I213">
        <v>105</v>
      </c>
      <c r="J213">
        <v>2008</v>
      </c>
      <c r="K213">
        <v>1</v>
      </c>
      <c r="L213" t="s">
        <v>28</v>
      </c>
    </row>
    <row r="214" spans="1:12" x14ac:dyDescent="0.25">
      <c r="A214">
        <v>213</v>
      </c>
      <c r="B214" t="s">
        <v>425</v>
      </c>
      <c r="C214" t="s">
        <v>38</v>
      </c>
      <c r="D214" t="s">
        <v>1013</v>
      </c>
      <c r="E214" s="2">
        <v>2700000</v>
      </c>
      <c r="F214" s="3">
        <v>1924.2817</v>
      </c>
      <c r="G214" t="s">
        <v>426</v>
      </c>
      <c r="H214">
        <v>30</v>
      </c>
      <c r="I214">
        <v>6</v>
      </c>
      <c r="J214">
        <v>2009</v>
      </c>
      <c r="K214">
        <v>2</v>
      </c>
      <c r="L214" t="s">
        <v>208</v>
      </c>
    </row>
    <row r="215" spans="1:12" x14ac:dyDescent="0.25">
      <c r="A215">
        <v>214</v>
      </c>
      <c r="B215" t="s">
        <v>427</v>
      </c>
      <c r="C215" t="s">
        <v>23</v>
      </c>
      <c r="D215" t="s">
        <v>321</v>
      </c>
      <c r="E215" s="2">
        <v>4099999.9999999995</v>
      </c>
      <c r="F215" s="3">
        <v>1918.6756</v>
      </c>
      <c r="G215" t="s">
        <v>152</v>
      </c>
      <c r="H215">
        <v>14</v>
      </c>
      <c r="I215">
        <v>2</v>
      </c>
      <c r="J215">
        <v>2014</v>
      </c>
      <c r="K215">
        <v>1</v>
      </c>
      <c r="L215" t="s">
        <v>25</v>
      </c>
    </row>
    <row r="216" spans="1:12" x14ac:dyDescent="0.25">
      <c r="A216">
        <v>215</v>
      </c>
      <c r="B216" t="s">
        <v>428</v>
      </c>
      <c r="C216" t="s">
        <v>27</v>
      </c>
      <c r="D216" t="s">
        <v>1053</v>
      </c>
      <c r="E216" s="2">
        <v>161800000</v>
      </c>
      <c r="F216" s="3">
        <v>1917.0019</v>
      </c>
      <c r="G216" t="s">
        <v>81</v>
      </c>
      <c r="H216">
        <v>1160</v>
      </c>
      <c r="I216">
        <v>40</v>
      </c>
      <c r="J216">
        <v>2009</v>
      </c>
      <c r="K216">
        <v>4</v>
      </c>
      <c r="L216" t="s">
        <v>429</v>
      </c>
    </row>
    <row r="217" spans="1:12" x14ac:dyDescent="0.25">
      <c r="A217">
        <v>216</v>
      </c>
      <c r="B217" t="s">
        <v>430</v>
      </c>
      <c r="C217" t="s">
        <v>396</v>
      </c>
      <c r="D217" t="s">
        <v>1078</v>
      </c>
      <c r="E217" s="2">
        <v>31500000</v>
      </c>
      <c r="F217" s="3">
        <v>1915.1007</v>
      </c>
      <c r="G217" t="s">
        <v>73</v>
      </c>
      <c r="H217">
        <v>54</v>
      </c>
      <c r="I217">
        <v>21</v>
      </c>
      <c r="J217">
        <v>2011</v>
      </c>
      <c r="K217">
        <v>2</v>
      </c>
      <c r="L217" t="s">
        <v>397</v>
      </c>
    </row>
    <row r="218" spans="1:12" x14ac:dyDescent="0.25">
      <c r="A218">
        <v>217</v>
      </c>
      <c r="B218" t="s">
        <v>431</v>
      </c>
      <c r="C218" t="s">
        <v>23</v>
      </c>
      <c r="D218" t="s">
        <v>321</v>
      </c>
      <c r="E218" s="2">
        <v>4500000</v>
      </c>
      <c r="F218" s="3">
        <v>1914.7356</v>
      </c>
      <c r="G218" t="s">
        <v>51</v>
      </c>
      <c r="H218">
        <v>75</v>
      </c>
      <c r="I218">
        <v>5</v>
      </c>
      <c r="J218">
        <v>2014</v>
      </c>
      <c r="K218">
        <v>1</v>
      </c>
      <c r="L218" t="s">
        <v>409</v>
      </c>
    </row>
    <row r="219" spans="1:12" x14ac:dyDescent="0.25">
      <c r="A219">
        <v>218</v>
      </c>
      <c r="B219" t="s">
        <v>432</v>
      </c>
      <c r="C219" t="s">
        <v>38</v>
      </c>
      <c r="D219" t="s">
        <v>1013</v>
      </c>
      <c r="E219" s="2">
        <v>3500000</v>
      </c>
      <c r="F219" s="3">
        <v>1905.462</v>
      </c>
      <c r="G219" t="s">
        <v>139</v>
      </c>
      <c r="H219">
        <v>8</v>
      </c>
      <c r="I219">
        <v>3</v>
      </c>
      <c r="J219">
        <v>2014</v>
      </c>
      <c r="K219">
        <v>1</v>
      </c>
      <c r="L219" t="s">
        <v>433</v>
      </c>
    </row>
    <row r="220" spans="1:12" x14ac:dyDescent="0.25">
      <c r="A220">
        <v>219</v>
      </c>
      <c r="B220" t="s">
        <v>434</v>
      </c>
      <c r="C220" t="s">
        <v>38</v>
      </c>
      <c r="D220" t="s">
        <v>1013</v>
      </c>
      <c r="E220" s="2">
        <v>18700000</v>
      </c>
      <c r="F220" s="3">
        <v>1901.165</v>
      </c>
      <c r="G220" t="s">
        <v>69</v>
      </c>
      <c r="H220">
        <v>11</v>
      </c>
      <c r="I220">
        <v>4</v>
      </c>
      <c r="J220">
        <v>2000</v>
      </c>
      <c r="K220">
        <v>1</v>
      </c>
      <c r="L220" t="s">
        <v>435</v>
      </c>
    </row>
    <row r="221" spans="1:12" x14ac:dyDescent="0.25">
      <c r="A221">
        <v>220</v>
      </c>
      <c r="B221" t="s">
        <v>436</v>
      </c>
      <c r="C221" t="s">
        <v>11</v>
      </c>
      <c r="D221" t="s">
        <v>1050</v>
      </c>
      <c r="E221" s="2">
        <v>6100000</v>
      </c>
      <c r="F221" s="3">
        <v>1882.7744</v>
      </c>
      <c r="G221" t="s">
        <v>20</v>
      </c>
      <c r="H221">
        <v>5</v>
      </c>
      <c r="I221">
        <v>2</v>
      </c>
      <c r="J221">
        <v>2013</v>
      </c>
      <c r="K221">
        <v>1</v>
      </c>
      <c r="L221" t="s">
        <v>437</v>
      </c>
    </row>
    <row r="222" spans="1:12" x14ac:dyDescent="0.25">
      <c r="A222">
        <v>221</v>
      </c>
      <c r="B222" t="s">
        <v>438</v>
      </c>
      <c r="C222" t="s">
        <v>100</v>
      </c>
      <c r="D222" t="s">
        <v>1062</v>
      </c>
      <c r="E222" s="2">
        <v>10000000</v>
      </c>
      <c r="F222" s="3">
        <v>1882.0256999999999</v>
      </c>
      <c r="G222" t="s">
        <v>73</v>
      </c>
      <c r="H222">
        <v>90</v>
      </c>
      <c r="I222">
        <v>2</v>
      </c>
      <c r="J222">
        <v>2010</v>
      </c>
      <c r="K222">
        <v>3</v>
      </c>
      <c r="L222" t="s">
        <v>439</v>
      </c>
    </row>
    <row r="223" spans="1:12" x14ac:dyDescent="0.25">
      <c r="A223">
        <v>222</v>
      </c>
      <c r="B223" t="s">
        <v>440</v>
      </c>
      <c r="C223" t="s">
        <v>50</v>
      </c>
      <c r="D223" t="s">
        <v>52</v>
      </c>
      <c r="E223" s="2">
        <v>2700000</v>
      </c>
      <c r="F223" s="3">
        <v>1877.5153</v>
      </c>
      <c r="G223" t="s">
        <v>3</v>
      </c>
      <c r="H223">
        <v>11</v>
      </c>
      <c r="I223">
        <v>5</v>
      </c>
      <c r="J223">
        <v>2015</v>
      </c>
      <c r="K223">
        <v>1</v>
      </c>
      <c r="L223" t="s">
        <v>52</v>
      </c>
    </row>
    <row r="224" spans="1:12" x14ac:dyDescent="0.25">
      <c r="A224">
        <v>223</v>
      </c>
      <c r="B224" t="s">
        <v>441</v>
      </c>
      <c r="C224" t="s">
        <v>27</v>
      </c>
      <c r="D224" t="s">
        <v>1053</v>
      </c>
      <c r="E224" s="2">
        <v>7700000</v>
      </c>
      <c r="F224" s="3">
        <v>1851.6306</v>
      </c>
      <c r="G224" t="s">
        <v>73</v>
      </c>
      <c r="H224">
        <v>45</v>
      </c>
      <c r="I224">
        <v>7</v>
      </c>
      <c r="J224">
        <v>2015</v>
      </c>
      <c r="K224">
        <v>1</v>
      </c>
      <c r="L224" t="s">
        <v>442</v>
      </c>
    </row>
    <row r="225" spans="1:12" x14ac:dyDescent="0.25">
      <c r="A225">
        <v>224</v>
      </c>
      <c r="B225" t="s">
        <v>443</v>
      </c>
      <c r="C225" t="s">
        <v>38</v>
      </c>
      <c r="D225" t="s">
        <v>1013</v>
      </c>
      <c r="E225" s="2">
        <v>4500000</v>
      </c>
      <c r="F225" s="3">
        <v>1843.5572</v>
      </c>
      <c r="G225" t="s">
        <v>12</v>
      </c>
      <c r="H225">
        <v>15</v>
      </c>
      <c r="I225">
        <v>3</v>
      </c>
      <c r="J225">
        <v>2014</v>
      </c>
      <c r="K225">
        <v>1</v>
      </c>
      <c r="L225" t="s">
        <v>175</v>
      </c>
    </row>
    <row r="226" spans="1:12" x14ac:dyDescent="0.25">
      <c r="A226">
        <v>225</v>
      </c>
      <c r="B226" t="s">
        <v>444</v>
      </c>
      <c r="C226" t="s">
        <v>50</v>
      </c>
      <c r="D226" t="s">
        <v>52</v>
      </c>
      <c r="E226" s="2">
        <v>8199999.9999999991</v>
      </c>
      <c r="F226" s="3">
        <v>1838.3239000000001</v>
      </c>
      <c r="G226" t="s">
        <v>81</v>
      </c>
      <c r="H226">
        <v>25</v>
      </c>
      <c r="I226">
        <v>7</v>
      </c>
      <c r="J226">
        <v>2013</v>
      </c>
      <c r="K226">
        <v>1</v>
      </c>
      <c r="L226" t="s">
        <v>445</v>
      </c>
    </row>
    <row r="227" spans="1:12" x14ac:dyDescent="0.25">
      <c r="A227">
        <v>226</v>
      </c>
      <c r="B227" t="s">
        <v>446</v>
      </c>
      <c r="C227" t="s">
        <v>31</v>
      </c>
      <c r="D227" t="s">
        <v>1054</v>
      </c>
      <c r="E227" s="2">
        <v>6600000</v>
      </c>
      <c r="F227" s="3">
        <v>1820.7809999999999</v>
      </c>
      <c r="G227" t="s">
        <v>84</v>
      </c>
      <c r="H227">
        <v>15</v>
      </c>
      <c r="I227">
        <v>3</v>
      </c>
      <c r="J227">
        <v>2012</v>
      </c>
      <c r="K227">
        <v>2</v>
      </c>
      <c r="L227" t="s">
        <v>447</v>
      </c>
    </row>
    <row r="228" spans="1:12" x14ac:dyDescent="0.25">
      <c r="A228">
        <v>227</v>
      </c>
      <c r="B228" t="s">
        <v>448</v>
      </c>
      <c r="C228" t="s">
        <v>23</v>
      </c>
      <c r="D228" t="s">
        <v>321</v>
      </c>
      <c r="E228" s="2">
        <v>10700000</v>
      </c>
      <c r="F228" s="3">
        <v>1813.5417</v>
      </c>
      <c r="G228" t="s">
        <v>24</v>
      </c>
      <c r="H228">
        <v>4</v>
      </c>
      <c r="I228">
        <v>2</v>
      </c>
      <c r="J228">
        <v>2014</v>
      </c>
      <c r="K228">
        <v>1</v>
      </c>
      <c r="L228" t="s">
        <v>409</v>
      </c>
    </row>
    <row r="229" spans="1:12" x14ac:dyDescent="0.25">
      <c r="A229">
        <v>228</v>
      </c>
      <c r="B229" t="s">
        <v>449</v>
      </c>
      <c r="C229" t="s">
        <v>56</v>
      </c>
      <c r="D229" t="s">
        <v>1057</v>
      </c>
      <c r="E229" s="2">
        <v>7200000</v>
      </c>
      <c r="F229" s="3">
        <v>1808.729</v>
      </c>
      <c r="G229" t="s">
        <v>119</v>
      </c>
      <c r="H229">
        <v>40</v>
      </c>
      <c r="I229">
        <v>8</v>
      </c>
      <c r="J229">
        <v>2014</v>
      </c>
      <c r="K229">
        <v>2</v>
      </c>
      <c r="L229" t="s">
        <v>450</v>
      </c>
    </row>
    <row r="230" spans="1:12" x14ac:dyDescent="0.25">
      <c r="A230">
        <v>229</v>
      </c>
      <c r="B230" t="s">
        <v>451</v>
      </c>
      <c r="C230" t="s">
        <v>350</v>
      </c>
      <c r="D230" t="s">
        <v>1076</v>
      </c>
      <c r="E230" s="2">
        <v>2600000</v>
      </c>
      <c r="F230" s="3">
        <v>1802.2541000000001</v>
      </c>
      <c r="G230" t="s">
        <v>108</v>
      </c>
      <c r="H230">
        <v>5</v>
      </c>
      <c r="I230">
        <v>1</v>
      </c>
      <c r="J230">
        <v>2012</v>
      </c>
      <c r="K230">
        <v>1</v>
      </c>
      <c r="L230" t="s">
        <v>36</v>
      </c>
    </row>
    <row r="231" spans="1:12" x14ac:dyDescent="0.25">
      <c r="A231">
        <v>230</v>
      </c>
      <c r="B231" t="s">
        <v>452</v>
      </c>
      <c r="C231" t="s">
        <v>113</v>
      </c>
      <c r="D231" t="s">
        <v>1065</v>
      </c>
      <c r="E231" s="2">
        <v>2900000</v>
      </c>
      <c r="F231" s="3">
        <v>1797.1431</v>
      </c>
      <c r="G231" t="s">
        <v>24</v>
      </c>
      <c r="H231">
        <v>33</v>
      </c>
      <c r="I231">
        <v>3</v>
      </c>
      <c r="J231">
        <v>2015</v>
      </c>
      <c r="K231">
        <v>1</v>
      </c>
      <c r="L231" t="s">
        <v>342</v>
      </c>
    </row>
    <row r="232" spans="1:12" x14ac:dyDescent="0.25">
      <c r="A232">
        <v>231</v>
      </c>
      <c r="B232" t="s">
        <v>453</v>
      </c>
      <c r="C232" t="s">
        <v>219</v>
      </c>
      <c r="D232" t="s">
        <v>1071</v>
      </c>
      <c r="E232" s="2">
        <v>46200000</v>
      </c>
      <c r="F232" s="3">
        <v>1797.0416</v>
      </c>
      <c r="G232" t="s">
        <v>261</v>
      </c>
      <c r="H232">
        <v>79</v>
      </c>
      <c r="I232">
        <v>22</v>
      </c>
      <c r="J232">
        <v>2012</v>
      </c>
      <c r="K232">
        <v>2</v>
      </c>
      <c r="L232" t="s">
        <v>220</v>
      </c>
    </row>
    <row r="233" spans="1:12" x14ac:dyDescent="0.25">
      <c r="A233">
        <v>232</v>
      </c>
      <c r="B233" t="s">
        <v>454</v>
      </c>
      <c r="C233" t="s">
        <v>38</v>
      </c>
      <c r="D233" t="s">
        <v>1013</v>
      </c>
      <c r="E233" s="2">
        <v>120500000</v>
      </c>
      <c r="F233" s="3">
        <v>1795.6922</v>
      </c>
      <c r="G233" t="s">
        <v>7</v>
      </c>
      <c r="H233">
        <v>22</v>
      </c>
      <c r="I233">
        <v>2</v>
      </c>
      <c r="J233">
        <v>2015</v>
      </c>
      <c r="K233">
        <v>1</v>
      </c>
      <c r="L233" t="s">
        <v>455</v>
      </c>
    </row>
    <row r="234" spans="1:12" x14ac:dyDescent="0.25">
      <c r="A234">
        <v>233</v>
      </c>
      <c r="B234" t="s">
        <v>456</v>
      </c>
      <c r="C234" t="s">
        <v>38</v>
      </c>
      <c r="D234" t="s">
        <v>1013</v>
      </c>
      <c r="E234" s="2">
        <v>4700000</v>
      </c>
      <c r="F234" s="3">
        <v>1792.335</v>
      </c>
      <c r="G234" t="s">
        <v>73</v>
      </c>
      <c r="H234">
        <v>30</v>
      </c>
      <c r="I234">
        <v>11</v>
      </c>
      <c r="J234">
        <v>2012</v>
      </c>
      <c r="K234">
        <v>1</v>
      </c>
      <c r="L234" t="s">
        <v>175</v>
      </c>
    </row>
    <row r="235" spans="1:12" x14ac:dyDescent="0.25">
      <c r="A235">
        <v>234</v>
      </c>
      <c r="B235" t="s">
        <v>457</v>
      </c>
      <c r="C235" t="s">
        <v>11</v>
      </c>
      <c r="D235" t="s">
        <v>1050</v>
      </c>
      <c r="E235" s="2">
        <v>12000000</v>
      </c>
      <c r="F235" s="3">
        <v>1790.0996</v>
      </c>
      <c r="G235" t="s">
        <v>69</v>
      </c>
      <c r="H235">
        <v>44</v>
      </c>
      <c r="I235">
        <v>5</v>
      </c>
      <c r="J235">
        <v>2015</v>
      </c>
      <c r="K235">
        <v>1</v>
      </c>
      <c r="L235" t="s">
        <v>458</v>
      </c>
    </row>
    <row r="236" spans="1:12" x14ac:dyDescent="0.25">
      <c r="A236">
        <v>235</v>
      </c>
      <c r="B236" t="s">
        <v>459</v>
      </c>
      <c r="C236" t="s">
        <v>38</v>
      </c>
      <c r="D236" t="s">
        <v>1013</v>
      </c>
      <c r="E236" s="2">
        <v>2300000</v>
      </c>
      <c r="F236" s="3">
        <v>1789.8022000000001</v>
      </c>
      <c r="G236" t="s">
        <v>134</v>
      </c>
      <c r="H236">
        <v>3</v>
      </c>
      <c r="I236">
        <v>1</v>
      </c>
      <c r="J236">
        <v>2014</v>
      </c>
      <c r="K236">
        <v>1</v>
      </c>
      <c r="L236" t="s">
        <v>39</v>
      </c>
    </row>
    <row r="237" spans="1:12" x14ac:dyDescent="0.25">
      <c r="A237">
        <v>236</v>
      </c>
      <c r="B237" t="s">
        <v>460</v>
      </c>
      <c r="C237" t="s">
        <v>38</v>
      </c>
      <c r="D237" t="s">
        <v>1013</v>
      </c>
      <c r="E237" s="2">
        <v>4300000</v>
      </c>
      <c r="F237" s="3">
        <v>1786.4145000000001</v>
      </c>
      <c r="G237" t="s">
        <v>24</v>
      </c>
      <c r="H237">
        <v>19</v>
      </c>
      <c r="I237">
        <v>10</v>
      </c>
      <c r="J237">
        <v>2014</v>
      </c>
      <c r="K237">
        <v>1</v>
      </c>
      <c r="L237" t="s">
        <v>461</v>
      </c>
    </row>
    <row r="238" spans="1:12" x14ac:dyDescent="0.25">
      <c r="A238">
        <v>237</v>
      </c>
      <c r="B238" t="s">
        <v>462</v>
      </c>
      <c r="C238" t="s">
        <v>113</v>
      </c>
      <c r="D238" t="s">
        <v>1065</v>
      </c>
      <c r="E238" s="2">
        <v>11100000</v>
      </c>
      <c r="F238" s="3">
        <v>1781.0661</v>
      </c>
      <c r="G238" t="s">
        <v>84</v>
      </c>
      <c r="H238">
        <v>152</v>
      </c>
      <c r="I238">
        <v>11</v>
      </c>
      <c r="J238">
        <v>2007</v>
      </c>
      <c r="K238">
        <v>1</v>
      </c>
      <c r="L238" t="s">
        <v>463</v>
      </c>
    </row>
    <row r="239" spans="1:12" x14ac:dyDescent="0.25">
      <c r="A239">
        <v>238</v>
      </c>
      <c r="B239" t="s">
        <v>464</v>
      </c>
      <c r="C239" t="s">
        <v>38</v>
      </c>
      <c r="D239" t="s">
        <v>1013</v>
      </c>
      <c r="E239" s="2">
        <v>3600000</v>
      </c>
      <c r="F239" s="3">
        <v>1775.3905</v>
      </c>
      <c r="G239" t="s">
        <v>73</v>
      </c>
      <c r="H239">
        <v>25</v>
      </c>
      <c r="I239">
        <v>3</v>
      </c>
      <c r="J239">
        <v>2014</v>
      </c>
      <c r="K239">
        <v>1</v>
      </c>
      <c r="L239" t="s">
        <v>465</v>
      </c>
    </row>
    <row r="240" spans="1:12" x14ac:dyDescent="0.25">
      <c r="A240">
        <v>239</v>
      </c>
      <c r="B240" t="s">
        <v>466</v>
      </c>
      <c r="C240" t="s">
        <v>35</v>
      </c>
      <c r="D240" t="s">
        <v>1055</v>
      </c>
      <c r="E240" s="2">
        <v>7300000</v>
      </c>
      <c r="F240" s="3">
        <v>1765.6791000000001</v>
      </c>
      <c r="G240" t="s">
        <v>97</v>
      </c>
      <c r="H240">
        <v>6</v>
      </c>
      <c r="I240">
        <v>2</v>
      </c>
      <c r="J240">
        <v>2013</v>
      </c>
      <c r="K240">
        <v>1</v>
      </c>
      <c r="L240" t="s">
        <v>233</v>
      </c>
    </row>
    <row r="241" spans="1:12" x14ac:dyDescent="0.25">
      <c r="A241">
        <v>240</v>
      </c>
      <c r="B241" t="s">
        <v>467</v>
      </c>
      <c r="C241" t="s">
        <v>11</v>
      </c>
      <c r="D241" t="s">
        <v>1050</v>
      </c>
      <c r="E241" s="2">
        <v>6300000</v>
      </c>
      <c r="F241" s="3">
        <v>1763.0807</v>
      </c>
      <c r="G241" t="s">
        <v>16</v>
      </c>
      <c r="H241">
        <v>60</v>
      </c>
      <c r="I241">
        <v>10</v>
      </c>
      <c r="J241">
        <v>2013</v>
      </c>
      <c r="K241">
        <v>1</v>
      </c>
      <c r="L241" t="s">
        <v>116</v>
      </c>
    </row>
    <row r="242" spans="1:12" x14ac:dyDescent="0.25">
      <c r="A242">
        <v>241</v>
      </c>
      <c r="B242" t="s">
        <v>468</v>
      </c>
      <c r="C242" t="s">
        <v>19</v>
      </c>
      <c r="D242" t="s">
        <v>1052</v>
      </c>
      <c r="E242" s="2">
        <v>3300000</v>
      </c>
      <c r="F242" s="3">
        <v>1759.1475</v>
      </c>
      <c r="G242" t="s">
        <v>108</v>
      </c>
      <c r="H242">
        <v>5</v>
      </c>
      <c r="I242">
        <v>2</v>
      </c>
      <c r="J242">
        <v>2015</v>
      </c>
      <c r="K242">
        <v>1</v>
      </c>
      <c r="L242" t="s">
        <v>469</v>
      </c>
    </row>
    <row r="243" spans="1:12" x14ac:dyDescent="0.25">
      <c r="A243">
        <v>242</v>
      </c>
      <c r="B243" t="s">
        <v>470</v>
      </c>
      <c r="C243" t="s">
        <v>100</v>
      </c>
      <c r="D243" t="s">
        <v>1062</v>
      </c>
      <c r="E243" s="2">
        <v>2100000</v>
      </c>
      <c r="F243" s="3">
        <v>1738.1728000000001</v>
      </c>
      <c r="G243" t="s">
        <v>24</v>
      </c>
      <c r="H243">
        <v>12</v>
      </c>
      <c r="I243">
        <v>2</v>
      </c>
      <c r="J243">
        <v>2013</v>
      </c>
      <c r="K243">
        <v>1</v>
      </c>
      <c r="L243" t="s">
        <v>471</v>
      </c>
    </row>
    <row r="244" spans="1:12" x14ac:dyDescent="0.25">
      <c r="A244">
        <v>243</v>
      </c>
      <c r="B244" t="s">
        <v>472</v>
      </c>
      <c r="C244" t="s">
        <v>113</v>
      </c>
      <c r="D244" t="s">
        <v>1065</v>
      </c>
      <c r="E244" s="2">
        <v>5300000</v>
      </c>
      <c r="F244" s="3">
        <v>1733.9362000000001</v>
      </c>
      <c r="G244" t="s">
        <v>139</v>
      </c>
      <c r="H244">
        <v>40</v>
      </c>
      <c r="I244">
        <v>10</v>
      </c>
      <c r="J244">
        <v>2014</v>
      </c>
      <c r="K244">
        <v>1</v>
      </c>
      <c r="L244" t="s">
        <v>114</v>
      </c>
    </row>
    <row r="245" spans="1:12" x14ac:dyDescent="0.25">
      <c r="A245">
        <v>244</v>
      </c>
      <c r="B245" t="s">
        <v>473</v>
      </c>
      <c r="C245" t="s">
        <v>23</v>
      </c>
      <c r="D245" t="s">
        <v>321</v>
      </c>
      <c r="E245" s="2">
        <v>26300000</v>
      </c>
      <c r="F245" s="3">
        <v>1732.6297</v>
      </c>
      <c r="G245" t="s">
        <v>16</v>
      </c>
      <c r="H245">
        <v>21</v>
      </c>
      <c r="I245">
        <v>5</v>
      </c>
      <c r="J245">
        <v>2012</v>
      </c>
      <c r="K245">
        <v>3</v>
      </c>
      <c r="L245" t="s">
        <v>474</v>
      </c>
    </row>
    <row r="246" spans="1:12" x14ac:dyDescent="0.25">
      <c r="A246">
        <v>246</v>
      </c>
      <c r="B246" t="s">
        <v>475</v>
      </c>
      <c r="C246" t="s">
        <v>41</v>
      </c>
      <c r="D246" t="s">
        <v>1056</v>
      </c>
      <c r="E246" s="2">
        <v>13400000</v>
      </c>
      <c r="F246" s="3">
        <v>1726.7615000000001</v>
      </c>
      <c r="G246" t="s">
        <v>97</v>
      </c>
      <c r="H246">
        <v>25</v>
      </c>
      <c r="I246">
        <v>4</v>
      </c>
      <c r="J246">
        <v>2014</v>
      </c>
      <c r="K246">
        <v>1</v>
      </c>
      <c r="L246" t="s">
        <v>476</v>
      </c>
    </row>
    <row r="247" spans="1:12" x14ac:dyDescent="0.25">
      <c r="A247">
        <v>247</v>
      </c>
      <c r="B247" t="s">
        <v>477</v>
      </c>
      <c r="C247" t="s">
        <v>56</v>
      </c>
      <c r="D247" t="s">
        <v>1057</v>
      </c>
      <c r="E247" s="2">
        <v>467400000</v>
      </c>
      <c r="F247" s="3">
        <v>1723.8604</v>
      </c>
      <c r="G247" t="s">
        <v>87</v>
      </c>
      <c r="H247">
        <v>900</v>
      </c>
      <c r="I247">
        <v>75</v>
      </c>
      <c r="J247">
        <v>2010</v>
      </c>
      <c r="K247">
        <v>2</v>
      </c>
      <c r="L247" t="s">
        <v>57</v>
      </c>
    </row>
    <row r="248" spans="1:12" x14ac:dyDescent="0.25">
      <c r="A248">
        <v>248</v>
      </c>
      <c r="B248" t="s">
        <v>478</v>
      </c>
      <c r="C248" t="s">
        <v>2</v>
      </c>
      <c r="D248" t="s">
        <v>1048</v>
      </c>
      <c r="E248" s="2">
        <v>8300000.0000000009</v>
      </c>
      <c r="F248" s="3">
        <v>1713.4616000000001</v>
      </c>
      <c r="G248" t="s">
        <v>130</v>
      </c>
      <c r="H248">
        <v>275</v>
      </c>
      <c r="I248">
        <v>35</v>
      </c>
      <c r="J248">
        <v>2014</v>
      </c>
      <c r="K248">
        <v>1</v>
      </c>
      <c r="L248" t="s">
        <v>4</v>
      </c>
    </row>
    <row r="249" spans="1:12" x14ac:dyDescent="0.25">
      <c r="A249">
        <v>249</v>
      </c>
      <c r="B249" t="s">
        <v>479</v>
      </c>
      <c r="C249" t="s">
        <v>23</v>
      </c>
      <c r="D249" t="s">
        <v>321</v>
      </c>
      <c r="E249" s="2">
        <v>2300000</v>
      </c>
      <c r="F249" s="3">
        <v>1710.2375</v>
      </c>
      <c r="G249" t="s">
        <v>152</v>
      </c>
      <c r="H249">
        <v>10</v>
      </c>
      <c r="I249">
        <v>2</v>
      </c>
      <c r="J249">
        <v>2015</v>
      </c>
      <c r="K249">
        <v>1</v>
      </c>
      <c r="L249" t="s">
        <v>25</v>
      </c>
    </row>
    <row r="250" spans="1:12" x14ac:dyDescent="0.25">
      <c r="A250">
        <v>250</v>
      </c>
      <c r="B250" t="s">
        <v>480</v>
      </c>
      <c r="C250" t="s">
        <v>354</v>
      </c>
      <c r="D250" t="s">
        <v>1077</v>
      </c>
      <c r="E250" s="2">
        <v>4400000</v>
      </c>
      <c r="F250" s="3">
        <v>1702.6456000000001</v>
      </c>
      <c r="G250" t="s">
        <v>119</v>
      </c>
      <c r="H250">
        <v>59</v>
      </c>
      <c r="I250">
        <v>6</v>
      </c>
      <c r="J250">
        <v>2014</v>
      </c>
      <c r="K250">
        <v>1</v>
      </c>
      <c r="L250" t="s">
        <v>481</v>
      </c>
    </row>
    <row r="251" spans="1:12" x14ac:dyDescent="0.25">
      <c r="A251">
        <v>251</v>
      </c>
      <c r="B251" t="s">
        <v>482</v>
      </c>
      <c r="C251" t="s">
        <v>41</v>
      </c>
      <c r="D251" t="s">
        <v>1056</v>
      </c>
      <c r="E251" s="2">
        <v>46200000</v>
      </c>
      <c r="F251" s="3">
        <v>1700.1602</v>
      </c>
      <c r="G251" t="s">
        <v>108</v>
      </c>
      <c r="H251">
        <v>18</v>
      </c>
      <c r="I251">
        <v>4</v>
      </c>
      <c r="J251">
        <v>2015</v>
      </c>
      <c r="K251">
        <v>2</v>
      </c>
      <c r="L251" t="s">
        <v>483</v>
      </c>
    </row>
    <row r="252" spans="1:12" x14ac:dyDescent="0.25">
      <c r="A252">
        <v>252</v>
      </c>
      <c r="B252" t="s">
        <v>484</v>
      </c>
      <c r="C252" t="s">
        <v>133</v>
      </c>
      <c r="D252" t="s">
        <v>1066</v>
      </c>
      <c r="E252" s="2">
        <v>7400000</v>
      </c>
      <c r="F252" s="3">
        <v>1699.3732</v>
      </c>
      <c r="G252" t="s">
        <v>51</v>
      </c>
      <c r="H252">
        <v>35</v>
      </c>
      <c r="I252">
        <v>10</v>
      </c>
      <c r="J252">
        <v>2015</v>
      </c>
      <c r="K252">
        <v>1</v>
      </c>
      <c r="L252" t="s">
        <v>135</v>
      </c>
    </row>
    <row r="253" spans="1:12" x14ac:dyDescent="0.25">
      <c r="A253">
        <v>253</v>
      </c>
      <c r="B253" t="s">
        <v>485</v>
      </c>
      <c r="C253" t="s">
        <v>155</v>
      </c>
      <c r="D253" t="s">
        <v>1068</v>
      </c>
      <c r="E253" s="2">
        <v>3700000</v>
      </c>
      <c r="F253" s="3">
        <v>1692.6066000000001</v>
      </c>
      <c r="G253" t="s">
        <v>148</v>
      </c>
      <c r="H253">
        <v>25</v>
      </c>
      <c r="I253">
        <v>12</v>
      </c>
      <c r="J253">
        <v>2014</v>
      </c>
      <c r="K253">
        <v>1</v>
      </c>
      <c r="L253" t="s">
        <v>486</v>
      </c>
    </row>
    <row r="254" spans="1:12" x14ac:dyDescent="0.25">
      <c r="A254">
        <v>254</v>
      </c>
      <c r="B254" t="s">
        <v>487</v>
      </c>
      <c r="C254" t="s">
        <v>72</v>
      </c>
      <c r="D254" t="s">
        <v>1059</v>
      </c>
      <c r="E254" s="2">
        <v>3100000</v>
      </c>
      <c r="F254" s="3">
        <v>1692.6045999999999</v>
      </c>
      <c r="G254" t="s">
        <v>16</v>
      </c>
      <c r="H254">
        <v>9</v>
      </c>
      <c r="I254">
        <v>2</v>
      </c>
      <c r="J254">
        <v>2014</v>
      </c>
      <c r="K254">
        <v>1</v>
      </c>
      <c r="L254" t="s">
        <v>488</v>
      </c>
    </row>
    <row r="255" spans="1:12" x14ac:dyDescent="0.25">
      <c r="A255">
        <v>255</v>
      </c>
      <c r="B255" t="s">
        <v>489</v>
      </c>
      <c r="C255" t="s">
        <v>107</v>
      </c>
      <c r="D255" t="s">
        <v>1064</v>
      </c>
      <c r="E255" s="2">
        <v>10500000</v>
      </c>
      <c r="F255" s="3">
        <v>1685.8634</v>
      </c>
      <c r="G255" t="s">
        <v>3</v>
      </c>
      <c r="H255">
        <v>20</v>
      </c>
      <c r="I255">
        <v>4</v>
      </c>
      <c r="J255">
        <v>2014</v>
      </c>
      <c r="K255">
        <v>1</v>
      </c>
      <c r="L255" t="s">
        <v>490</v>
      </c>
    </row>
    <row r="256" spans="1:12" x14ac:dyDescent="0.25">
      <c r="A256">
        <v>256</v>
      </c>
      <c r="B256" t="s">
        <v>491</v>
      </c>
      <c r="C256" t="s">
        <v>50</v>
      </c>
      <c r="D256" t="s">
        <v>52</v>
      </c>
      <c r="E256" s="2">
        <v>10100000</v>
      </c>
      <c r="F256" s="3">
        <v>1681.6204</v>
      </c>
      <c r="G256" t="s">
        <v>139</v>
      </c>
      <c r="H256">
        <v>2</v>
      </c>
      <c r="I256">
        <v>1</v>
      </c>
      <c r="J256">
        <v>2014</v>
      </c>
      <c r="K256">
        <v>1</v>
      </c>
      <c r="L256" t="s">
        <v>492</v>
      </c>
    </row>
    <row r="257" spans="1:12" x14ac:dyDescent="0.25">
      <c r="A257">
        <v>257</v>
      </c>
      <c r="B257" t="s">
        <v>493</v>
      </c>
      <c r="C257" t="s">
        <v>38</v>
      </c>
      <c r="D257" t="s">
        <v>1013</v>
      </c>
      <c r="E257" s="2">
        <v>8800000</v>
      </c>
      <c r="F257" s="3">
        <v>1677.2330999999999</v>
      </c>
      <c r="G257" t="s">
        <v>20</v>
      </c>
      <c r="H257">
        <v>15</v>
      </c>
      <c r="I257">
        <v>3</v>
      </c>
      <c r="J257">
        <v>2014</v>
      </c>
      <c r="K257">
        <v>2</v>
      </c>
      <c r="L257" t="s">
        <v>494</v>
      </c>
    </row>
    <row r="258" spans="1:12" x14ac:dyDescent="0.25">
      <c r="A258">
        <v>258</v>
      </c>
      <c r="B258" t="s">
        <v>495</v>
      </c>
      <c r="C258" t="s">
        <v>78</v>
      </c>
      <c r="D258" t="s">
        <v>1060</v>
      </c>
      <c r="E258" s="2">
        <v>58800000</v>
      </c>
      <c r="F258" s="3">
        <v>1672.8297</v>
      </c>
      <c r="G258" t="s">
        <v>81</v>
      </c>
      <c r="H258">
        <v>250</v>
      </c>
      <c r="I258">
        <v>30</v>
      </c>
      <c r="J258">
        <v>2014</v>
      </c>
      <c r="K258">
        <v>1</v>
      </c>
      <c r="L258" t="s">
        <v>496</v>
      </c>
    </row>
    <row r="259" spans="1:12" x14ac:dyDescent="0.25">
      <c r="A259">
        <v>259</v>
      </c>
      <c r="B259" t="s">
        <v>497</v>
      </c>
      <c r="C259" t="s">
        <v>11</v>
      </c>
      <c r="D259" t="s">
        <v>1050</v>
      </c>
      <c r="E259" s="2">
        <v>7200000</v>
      </c>
      <c r="F259" s="3">
        <v>1666.4879000000001</v>
      </c>
      <c r="G259" t="s">
        <v>16</v>
      </c>
      <c r="H259">
        <v>25</v>
      </c>
      <c r="I259">
        <v>2</v>
      </c>
      <c r="J259">
        <v>2014</v>
      </c>
      <c r="K259">
        <v>1</v>
      </c>
      <c r="L259" t="s">
        <v>13</v>
      </c>
    </row>
    <row r="260" spans="1:12" x14ac:dyDescent="0.25">
      <c r="A260">
        <v>260</v>
      </c>
      <c r="B260" t="s">
        <v>498</v>
      </c>
      <c r="C260" t="s">
        <v>35</v>
      </c>
      <c r="D260" t="s">
        <v>1055</v>
      </c>
      <c r="E260" s="2">
        <v>3700000</v>
      </c>
      <c r="F260" s="3">
        <v>1661.7406000000001</v>
      </c>
      <c r="G260" t="s">
        <v>16</v>
      </c>
      <c r="H260">
        <v>5</v>
      </c>
      <c r="I260">
        <v>3</v>
      </c>
      <c r="J260">
        <v>2014</v>
      </c>
      <c r="K260">
        <v>1</v>
      </c>
      <c r="L260" t="s">
        <v>499</v>
      </c>
    </row>
    <row r="261" spans="1:12" x14ac:dyDescent="0.25">
      <c r="A261">
        <v>261</v>
      </c>
      <c r="B261" t="s">
        <v>500</v>
      </c>
      <c r="C261" t="s">
        <v>41</v>
      </c>
      <c r="D261" t="s">
        <v>1056</v>
      </c>
      <c r="E261" s="2">
        <v>4200000</v>
      </c>
      <c r="F261" s="3">
        <v>1653.9969000000001</v>
      </c>
      <c r="G261" t="s">
        <v>24</v>
      </c>
      <c r="H261">
        <v>31</v>
      </c>
      <c r="I261">
        <v>12</v>
      </c>
      <c r="J261">
        <v>2015</v>
      </c>
      <c r="K261">
        <v>1</v>
      </c>
      <c r="L261" t="s">
        <v>42</v>
      </c>
    </row>
    <row r="262" spans="1:12" x14ac:dyDescent="0.25">
      <c r="A262">
        <v>262</v>
      </c>
      <c r="B262" t="s">
        <v>501</v>
      </c>
      <c r="C262" t="s">
        <v>11</v>
      </c>
      <c r="D262" t="s">
        <v>1050</v>
      </c>
      <c r="E262" s="2">
        <v>8500000</v>
      </c>
      <c r="F262" s="3">
        <v>1653.441</v>
      </c>
      <c r="G262" t="s">
        <v>148</v>
      </c>
      <c r="H262">
        <v>29</v>
      </c>
      <c r="I262">
        <v>16</v>
      </c>
      <c r="J262">
        <v>2012</v>
      </c>
      <c r="K262">
        <v>1</v>
      </c>
      <c r="L262" t="s">
        <v>206</v>
      </c>
    </row>
    <row r="263" spans="1:12" x14ac:dyDescent="0.25">
      <c r="A263">
        <v>263</v>
      </c>
      <c r="B263" t="s">
        <v>502</v>
      </c>
      <c r="C263" t="s">
        <v>113</v>
      </c>
      <c r="D263" t="s">
        <v>1065</v>
      </c>
      <c r="E263" s="2">
        <v>4700000</v>
      </c>
      <c r="F263" s="3">
        <v>1651.5508</v>
      </c>
      <c r="G263" t="s">
        <v>152</v>
      </c>
      <c r="H263">
        <v>175</v>
      </c>
      <c r="I263">
        <v>20</v>
      </c>
      <c r="J263">
        <v>2014</v>
      </c>
      <c r="K263">
        <v>2</v>
      </c>
      <c r="L263" t="s">
        <v>503</v>
      </c>
    </row>
    <row r="264" spans="1:12" x14ac:dyDescent="0.25">
      <c r="A264">
        <v>264</v>
      </c>
      <c r="B264" t="s">
        <v>504</v>
      </c>
      <c r="C264" t="s">
        <v>50</v>
      </c>
      <c r="D264" t="s">
        <v>52</v>
      </c>
      <c r="E264" s="2">
        <v>4500000</v>
      </c>
      <c r="F264" s="3">
        <v>1650.6419000000001</v>
      </c>
      <c r="G264" t="s">
        <v>16</v>
      </c>
      <c r="H264">
        <v>18</v>
      </c>
      <c r="I264">
        <v>3</v>
      </c>
      <c r="J264">
        <v>2015</v>
      </c>
      <c r="K264">
        <v>1</v>
      </c>
      <c r="L264" t="s">
        <v>505</v>
      </c>
    </row>
    <row r="265" spans="1:12" x14ac:dyDescent="0.25">
      <c r="A265">
        <v>265</v>
      </c>
      <c r="B265" t="s">
        <v>506</v>
      </c>
      <c r="C265" t="s">
        <v>38</v>
      </c>
      <c r="D265" t="s">
        <v>1013</v>
      </c>
      <c r="E265" s="2">
        <v>2600000</v>
      </c>
      <c r="F265" s="3">
        <v>1650.1407999999999</v>
      </c>
      <c r="G265" t="s">
        <v>124</v>
      </c>
      <c r="H265">
        <v>18</v>
      </c>
      <c r="I265">
        <v>3</v>
      </c>
      <c r="J265">
        <v>2015</v>
      </c>
      <c r="K265">
        <v>1</v>
      </c>
      <c r="L265" t="s">
        <v>507</v>
      </c>
    </row>
    <row r="266" spans="1:12" x14ac:dyDescent="0.25">
      <c r="A266">
        <v>266</v>
      </c>
      <c r="B266" t="s">
        <v>508</v>
      </c>
      <c r="C266" t="s">
        <v>219</v>
      </c>
      <c r="D266" t="s">
        <v>1071</v>
      </c>
      <c r="E266" s="2">
        <v>2200000</v>
      </c>
      <c r="F266" s="3">
        <v>1648.4583</v>
      </c>
      <c r="G266" t="s">
        <v>119</v>
      </c>
      <c r="H266">
        <v>16</v>
      </c>
      <c r="I266">
        <v>1</v>
      </c>
      <c r="J266">
        <v>2011</v>
      </c>
      <c r="K266">
        <v>1</v>
      </c>
      <c r="L266" t="s">
        <v>509</v>
      </c>
    </row>
    <row r="267" spans="1:12" x14ac:dyDescent="0.25">
      <c r="A267">
        <v>267</v>
      </c>
      <c r="B267" t="s">
        <v>510</v>
      </c>
      <c r="C267" t="s">
        <v>46</v>
      </c>
      <c r="D267" t="s">
        <v>397</v>
      </c>
      <c r="E267" s="2">
        <v>71600000</v>
      </c>
      <c r="F267" s="3">
        <v>1636.3737000000001</v>
      </c>
      <c r="G267" t="s">
        <v>87</v>
      </c>
      <c r="H267">
        <v>49</v>
      </c>
      <c r="I267">
        <v>13</v>
      </c>
      <c r="J267">
        <v>2009</v>
      </c>
      <c r="K267">
        <v>1</v>
      </c>
      <c r="L267" t="s">
        <v>511</v>
      </c>
    </row>
    <row r="268" spans="1:12" x14ac:dyDescent="0.25">
      <c r="A268">
        <v>268</v>
      </c>
      <c r="B268" t="s">
        <v>512</v>
      </c>
      <c r="C268" t="s">
        <v>19</v>
      </c>
      <c r="D268" t="s">
        <v>1052</v>
      </c>
      <c r="E268" s="2">
        <v>726100000</v>
      </c>
      <c r="F268" s="3">
        <v>1634.6901</v>
      </c>
      <c r="G268" t="s">
        <v>24</v>
      </c>
      <c r="H268">
        <v>164</v>
      </c>
      <c r="I268">
        <v>26</v>
      </c>
      <c r="J268">
        <v>2011</v>
      </c>
      <c r="K268">
        <v>4</v>
      </c>
      <c r="L268" t="s">
        <v>513</v>
      </c>
    </row>
    <row r="269" spans="1:12" x14ac:dyDescent="0.25">
      <c r="A269">
        <v>269</v>
      </c>
      <c r="B269" t="s">
        <v>514</v>
      </c>
      <c r="C269" t="s">
        <v>515</v>
      </c>
      <c r="D269" t="s">
        <v>1080</v>
      </c>
      <c r="E269" s="2">
        <v>2700000</v>
      </c>
      <c r="F269" s="3">
        <v>1627.4742000000001</v>
      </c>
      <c r="G269" t="s">
        <v>3</v>
      </c>
      <c r="H269">
        <v>6</v>
      </c>
      <c r="I269">
        <v>1</v>
      </c>
      <c r="J269">
        <v>2015</v>
      </c>
      <c r="K269">
        <v>1</v>
      </c>
      <c r="L269" t="s">
        <v>516</v>
      </c>
    </row>
    <row r="270" spans="1:12" x14ac:dyDescent="0.25">
      <c r="A270">
        <v>270</v>
      </c>
      <c r="B270" t="s">
        <v>517</v>
      </c>
      <c r="C270" t="s">
        <v>113</v>
      </c>
      <c r="D270" t="s">
        <v>1065</v>
      </c>
      <c r="E270" s="2">
        <v>259399999.99999997</v>
      </c>
      <c r="F270" s="3">
        <v>1621.7206000000001</v>
      </c>
      <c r="G270" t="s">
        <v>84</v>
      </c>
      <c r="H270">
        <v>231</v>
      </c>
      <c r="I270">
        <v>175</v>
      </c>
      <c r="J270">
        <v>1999</v>
      </c>
      <c r="K270">
        <v>4</v>
      </c>
      <c r="L270" t="s">
        <v>518</v>
      </c>
    </row>
    <row r="271" spans="1:12" x14ac:dyDescent="0.25">
      <c r="A271">
        <v>271</v>
      </c>
      <c r="B271" t="s">
        <v>519</v>
      </c>
      <c r="C271" t="s">
        <v>219</v>
      </c>
      <c r="D271" t="s">
        <v>1071</v>
      </c>
      <c r="E271" s="2">
        <v>7700000</v>
      </c>
      <c r="F271" s="3">
        <v>1621.3485000000001</v>
      </c>
      <c r="G271" t="s">
        <v>20</v>
      </c>
      <c r="H271">
        <v>12</v>
      </c>
      <c r="I271">
        <v>2</v>
      </c>
      <c r="J271">
        <v>2015</v>
      </c>
      <c r="K271">
        <v>1</v>
      </c>
      <c r="L271" t="s">
        <v>520</v>
      </c>
    </row>
    <row r="272" spans="1:12" x14ac:dyDescent="0.25">
      <c r="A272">
        <v>272</v>
      </c>
      <c r="B272" t="s">
        <v>521</v>
      </c>
      <c r="C272" t="s">
        <v>155</v>
      </c>
      <c r="D272" t="s">
        <v>1068</v>
      </c>
      <c r="E272" s="2">
        <v>8600000</v>
      </c>
      <c r="F272" s="3">
        <v>1609.4897000000001</v>
      </c>
      <c r="G272" t="s">
        <v>3</v>
      </c>
      <c r="H272">
        <v>375</v>
      </c>
      <c r="I272">
        <v>65</v>
      </c>
      <c r="J272">
        <v>2012</v>
      </c>
      <c r="K272">
        <v>2</v>
      </c>
      <c r="L272" t="s">
        <v>522</v>
      </c>
    </row>
    <row r="273" spans="1:12" x14ac:dyDescent="0.25">
      <c r="A273">
        <v>273</v>
      </c>
      <c r="B273" t="s">
        <v>523</v>
      </c>
      <c r="C273" t="s">
        <v>50</v>
      </c>
      <c r="D273" t="s">
        <v>52</v>
      </c>
      <c r="E273" s="2">
        <v>14000000</v>
      </c>
      <c r="F273" s="3">
        <v>1606.1159</v>
      </c>
      <c r="G273" t="s">
        <v>73</v>
      </c>
      <c r="H273">
        <v>81</v>
      </c>
      <c r="I273">
        <v>16</v>
      </c>
      <c r="J273">
        <v>2014</v>
      </c>
      <c r="K273">
        <v>1</v>
      </c>
      <c r="L273" t="s">
        <v>52</v>
      </c>
    </row>
    <row r="274" spans="1:12" x14ac:dyDescent="0.25">
      <c r="A274">
        <v>274</v>
      </c>
      <c r="B274" t="s">
        <v>524</v>
      </c>
      <c r="C274" t="s">
        <v>219</v>
      </c>
      <c r="D274" t="s">
        <v>1071</v>
      </c>
      <c r="E274" s="2">
        <v>3000000</v>
      </c>
      <c r="F274" s="3">
        <v>1600.7610999999999</v>
      </c>
      <c r="G274" t="s">
        <v>152</v>
      </c>
      <c r="H274">
        <v>10</v>
      </c>
      <c r="I274">
        <v>1</v>
      </c>
      <c r="J274">
        <v>2011</v>
      </c>
      <c r="K274">
        <v>2</v>
      </c>
      <c r="L274" t="s">
        <v>525</v>
      </c>
    </row>
    <row r="275" spans="1:12" x14ac:dyDescent="0.25">
      <c r="A275">
        <v>275</v>
      </c>
      <c r="B275" t="s">
        <v>526</v>
      </c>
      <c r="C275" t="s">
        <v>31</v>
      </c>
      <c r="D275" t="s">
        <v>1054</v>
      </c>
      <c r="E275" s="2">
        <v>18400000</v>
      </c>
      <c r="F275" s="3">
        <v>1600.2494999999999</v>
      </c>
      <c r="G275" t="s">
        <v>134</v>
      </c>
      <c r="H275">
        <v>106</v>
      </c>
      <c r="I275">
        <v>16</v>
      </c>
      <c r="J275">
        <v>2014</v>
      </c>
      <c r="K275">
        <v>1</v>
      </c>
      <c r="L275" t="s">
        <v>304</v>
      </c>
    </row>
    <row r="276" spans="1:12" x14ac:dyDescent="0.25">
      <c r="A276">
        <v>276</v>
      </c>
      <c r="B276" t="s">
        <v>527</v>
      </c>
      <c r="C276" t="s">
        <v>27</v>
      </c>
      <c r="D276" t="s">
        <v>1053</v>
      </c>
      <c r="E276" s="2">
        <v>4099999.9999999995</v>
      </c>
      <c r="F276" s="3">
        <v>1599.4677999999999</v>
      </c>
      <c r="G276" t="s">
        <v>73</v>
      </c>
      <c r="H276">
        <v>20</v>
      </c>
      <c r="I276">
        <v>15</v>
      </c>
      <c r="J276">
        <v>2011</v>
      </c>
      <c r="K276">
        <v>1</v>
      </c>
      <c r="L276" t="s">
        <v>29</v>
      </c>
    </row>
    <row r="277" spans="1:12" x14ac:dyDescent="0.25">
      <c r="A277">
        <v>277</v>
      </c>
      <c r="B277" t="s">
        <v>528</v>
      </c>
      <c r="C277" t="s">
        <v>515</v>
      </c>
      <c r="D277" t="s">
        <v>1080</v>
      </c>
      <c r="E277" s="2">
        <v>8400000</v>
      </c>
      <c r="F277" s="3">
        <v>1572.0504000000001</v>
      </c>
      <c r="G277" t="s">
        <v>7</v>
      </c>
      <c r="H277">
        <v>81</v>
      </c>
      <c r="I277">
        <v>15</v>
      </c>
      <c r="J277">
        <v>2009</v>
      </c>
      <c r="K277">
        <v>2</v>
      </c>
      <c r="L277" t="s">
        <v>529</v>
      </c>
    </row>
    <row r="278" spans="1:12" x14ac:dyDescent="0.25">
      <c r="A278">
        <v>278</v>
      </c>
      <c r="B278" t="s">
        <v>530</v>
      </c>
      <c r="C278" t="s">
        <v>113</v>
      </c>
      <c r="D278" t="s">
        <v>1065</v>
      </c>
      <c r="E278" s="2">
        <v>5500000</v>
      </c>
      <c r="F278" s="3">
        <v>1569.6044999999999</v>
      </c>
      <c r="G278" t="s">
        <v>84</v>
      </c>
      <c r="H278">
        <v>22</v>
      </c>
      <c r="I278">
        <v>3</v>
      </c>
      <c r="J278">
        <v>1999</v>
      </c>
      <c r="K278">
        <v>4</v>
      </c>
      <c r="L278" t="s">
        <v>342</v>
      </c>
    </row>
    <row r="279" spans="1:12" x14ac:dyDescent="0.25">
      <c r="A279">
        <v>279</v>
      </c>
      <c r="B279" t="s">
        <v>531</v>
      </c>
      <c r="C279" t="s">
        <v>50</v>
      </c>
      <c r="D279" t="s">
        <v>52</v>
      </c>
      <c r="E279" s="2">
        <v>5200000</v>
      </c>
      <c r="F279" s="3">
        <v>1567.7859000000001</v>
      </c>
      <c r="G279" t="s">
        <v>24</v>
      </c>
      <c r="H279">
        <v>45</v>
      </c>
      <c r="I279">
        <v>5</v>
      </c>
      <c r="J279">
        <v>2012</v>
      </c>
      <c r="K279">
        <v>2</v>
      </c>
      <c r="L279" t="s">
        <v>52</v>
      </c>
    </row>
    <row r="280" spans="1:12" x14ac:dyDescent="0.25">
      <c r="A280">
        <v>280</v>
      </c>
      <c r="B280" t="s">
        <v>532</v>
      </c>
      <c r="C280" t="s">
        <v>219</v>
      </c>
      <c r="D280" t="s">
        <v>1071</v>
      </c>
      <c r="E280" s="2">
        <v>3400000</v>
      </c>
      <c r="F280" s="3">
        <v>1558.2846</v>
      </c>
      <c r="G280" t="s">
        <v>152</v>
      </c>
      <c r="H280">
        <v>32</v>
      </c>
      <c r="I280">
        <v>1</v>
      </c>
      <c r="J280">
        <v>2013</v>
      </c>
      <c r="K280">
        <v>1</v>
      </c>
      <c r="L280" t="s">
        <v>220</v>
      </c>
    </row>
    <row r="281" spans="1:12" x14ac:dyDescent="0.25">
      <c r="A281">
        <v>281</v>
      </c>
      <c r="B281" t="s">
        <v>533</v>
      </c>
      <c r="C281" t="s">
        <v>23</v>
      </c>
      <c r="D281" t="s">
        <v>321</v>
      </c>
      <c r="E281" s="2">
        <v>2300000</v>
      </c>
      <c r="F281" s="3">
        <v>1554.4394</v>
      </c>
      <c r="G281" t="s">
        <v>261</v>
      </c>
      <c r="H281">
        <v>9</v>
      </c>
      <c r="I281">
        <v>2</v>
      </c>
      <c r="J281">
        <v>2011</v>
      </c>
      <c r="K281">
        <v>1</v>
      </c>
      <c r="L281" t="s">
        <v>534</v>
      </c>
    </row>
    <row r="282" spans="1:12" x14ac:dyDescent="0.25">
      <c r="A282">
        <v>282</v>
      </c>
      <c r="B282" t="s">
        <v>535</v>
      </c>
      <c r="C282" t="s">
        <v>56</v>
      </c>
      <c r="D282" t="s">
        <v>1057</v>
      </c>
      <c r="E282" s="2">
        <v>40900000</v>
      </c>
      <c r="F282" s="3">
        <v>1553.7538999999999</v>
      </c>
      <c r="G282" t="s">
        <v>146</v>
      </c>
      <c r="H282">
        <v>323</v>
      </c>
      <c r="I282">
        <v>47</v>
      </c>
      <c r="J282">
        <v>2012</v>
      </c>
      <c r="K282">
        <v>3</v>
      </c>
      <c r="L282" t="s">
        <v>57</v>
      </c>
    </row>
    <row r="283" spans="1:12" x14ac:dyDescent="0.25">
      <c r="A283">
        <v>283</v>
      </c>
      <c r="B283" t="s">
        <v>536</v>
      </c>
      <c r="C283" t="s">
        <v>515</v>
      </c>
      <c r="D283" t="s">
        <v>1080</v>
      </c>
      <c r="E283" s="2">
        <v>13700000</v>
      </c>
      <c r="F283" s="3">
        <v>1553.3569</v>
      </c>
      <c r="G283" t="s">
        <v>97</v>
      </c>
      <c r="H283">
        <v>23</v>
      </c>
      <c r="I283">
        <v>5</v>
      </c>
      <c r="J283">
        <v>2015</v>
      </c>
      <c r="K283">
        <v>1</v>
      </c>
      <c r="L283" t="s">
        <v>537</v>
      </c>
    </row>
    <row r="284" spans="1:12" x14ac:dyDescent="0.25">
      <c r="A284">
        <v>284</v>
      </c>
      <c r="B284" t="s">
        <v>538</v>
      </c>
      <c r="C284" t="s">
        <v>100</v>
      </c>
      <c r="D284" t="s">
        <v>1062</v>
      </c>
      <c r="E284" s="2">
        <v>93900000</v>
      </c>
      <c r="F284" s="3">
        <v>1549.3842999999999</v>
      </c>
      <c r="G284" t="s">
        <v>24</v>
      </c>
      <c r="H284">
        <v>502</v>
      </c>
      <c r="I284">
        <v>65</v>
      </c>
      <c r="J284">
        <v>2014</v>
      </c>
      <c r="K284">
        <v>1</v>
      </c>
      <c r="L284" t="s">
        <v>186</v>
      </c>
    </row>
    <row r="285" spans="1:12" x14ac:dyDescent="0.25">
      <c r="A285">
        <v>285</v>
      </c>
      <c r="B285" t="s">
        <v>539</v>
      </c>
      <c r="C285" t="s">
        <v>11</v>
      </c>
      <c r="D285" t="s">
        <v>1050</v>
      </c>
      <c r="E285" s="2">
        <v>4900000</v>
      </c>
      <c r="F285" s="3">
        <v>1549.2845</v>
      </c>
      <c r="G285" t="s">
        <v>73</v>
      </c>
      <c r="H285">
        <v>73</v>
      </c>
      <c r="I285">
        <v>21</v>
      </c>
      <c r="J285">
        <v>2013</v>
      </c>
      <c r="K285">
        <v>1</v>
      </c>
      <c r="L285" t="s">
        <v>13</v>
      </c>
    </row>
    <row r="286" spans="1:12" x14ac:dyDescent="0.25">
      <c r="A286">
        <v>286</v>
      </c>
      <c r="B286" t="s">
        <v>540</v>
      </c>
      <c r="C286" t="s">
        <v>151</v>
      </c>
      <c r="D286" t="s">
        <v>1067</v>
      </c>
      <c r="E286" s="2">
        <v>113500000</v>
      </c>
      <c r="F286" s="3">
        <v>1545.2612999999999</v>
      </c>
      <c r="G286" t="s">
        <v>24</v>
      </c>
      <c r="H286">
        <v>1500</v>
      </c>
      <c r="I286">
        <v>500</v>
      </c>
      <c r="J286">
        <v>2014</v>
      </c>
      <c r="K286">
        <v>2</v>
      </c>
      <c r="L286" t="s">
        <v>541</v>
      </c>
    </row>
    <row r="287" spans="1:12" x14ac:dyDescent="0.25">
      <c r="A287">
        <v>287</v>
      </c>
      <c r="B287" t="s">
        <v>542</v>
      </c>
      <c r="C287" t="s">
        <v>543</v>
      </c>
      <c r="D287" t="s">
        <v>1012</v>
      </c>
      <c r="E287" s="2">
        <v>2700000</v>
      </c>
      <c r="F287" s="3">
        <v>1541.2816</v>
      </c>
      <c r="G287" t="s">
        <v>139</v>
      </c>
      <c r="H287">
        <v>11</v>
      </c>
      <c r="I287">
        <v>2</v>
      </c>
      <c r="J287">
        <v>2015</v>
      </c>
      <c r="K287">
        <v>1</v>
      </c>
      <c r="L287" t="s">
        <v>544</v>
      </c>
    </row>
    <row r="288" spans="1:12" x14ac:dyDescent="0.25">
      <c r="A288">
        <v>288</v>
      </c>
      <c r="B288" t="s">
        <v>545</v>
      </c>
      <c r="C288" t="s">
        <v>11</v>
      </c>
      <c r="D288" t="s">
        <v>1050</v>
      </c>
      <c r="E288" s="2">
        <v>9100000</v>
      </c>
      <c r="F288" s="3">
        <v>1539.2442000000001</v>
      </c>
      <c r="G288" t="s">
        <v>97</v>
      </c>
      <c r="H288">
        <v>88</v>
      </c>
      <c r="I288">
        <v>15</v>
      </c>
      <c r="J288">
        <v>2007</v>
      </c>
      <c r="K288">
        <v>2</v>
      </c>
      <c r="L288" t="s">
        <v>13</v>
      </c>
    </row>
    <row r="289" spans="1:12" x14ac:dyDescent="0.25">
      <c r="A289">
        <v>289</v>
      </c>
      <c r="B289" t="s">
        <v>546</v>
      </c>
      <c r="C289" t="s">
        <v>38</v>
      </c>
      <c r="D289" t="s">
        <v>1013</v>
      </c>
      <c r="E289" s="2">
        <v>97400000</v>
      </c>
      <c r="F289" s="3">
        <v>1522.1528000000001</v>
      </c>
      <c r="G289" t="s">
        <v>24</v>
      </c>
      <c r="H289">
        <v>60</v>
      </c>
      <c r="I289">
        <v>12</v>
      </c>
      <c r="J289">
        <v>2007</v>
      </c>
      <c r="K289">
        <v>3</v>
      </c>
      <c r="L289" t="s">
        <v>255</v>
      </c>
    </row>
    <row r="290" spans="1:12" x14ac:dyDescent="0.25">
      <c r="A290">
        <v>290</v>
      </c>
      <c r="B290" t="s">
        <v>547</v>
      </c>
      <c r="C290" t="s">
        <v>38</v>
      </c>
      <c r="D290" t="s">
        <v>1013</v>
      </c>
      <c r="E290" s="2">
        <v>2600000</v>
      </c>
      <c r="F290" s="3">
        <v>1521.8605</v>
      </c>
      <c r="G290" t="s">
        <v>3</v>
      </c>
      <c r="H290">
        <v>15</v>
      </c>
      <c r="I290">
        <v>2</v>
      </c>
      <c r="J290">
        <v>2015</v>
      </c>
      <c r="K290">
        <v>1</v>
      </c>
      <c r="L290" t="s">
        <v>548</v>
      </c>
    </row>
    <row r="291" spans="1:12" x14ac:dyDescent="0.25">
      <c r="A291">
        <v>291</v>
      </c>
      <c r="B291" t="s">
        <v>549</v>
      </c>
      <c r="C291" t="s">
        <v>23</v>
      </c>
      <c r="D291" t="s">
        <v>321</v>
      </c>
      <c r="E291" s="2">
        <v>6100000</v>
      </c>
      <c r="F291" s="3">
        <v>1519.3447000000001</v>
      </c>
      <c r="G291" t="s">
        <v>152</v>
      </c>
      <c r="H291">
        <v>60</v>
      </c>
      <c r="I291">
        <v>5</v>
      </c>
      <c r="J291">
        <v>2015</v>
      </c>
      <c r="K291">
        <v>1</v>
      </c>
      <c r="L291" t="s">
        <v>550</v>
      </c>
    </row>
    <row r="292" spans="1:12" x14ac:dyDescent="0.25">
      <c r="A292">
        <v>292</v>
      </c>
      <c r="B292" t="s">
        <v>551</v>
      </c>
      <c r="C292" t="s">
        <v>31</v>
      </c>
      <c r="D292" t="s">
        <v>1054</v>
      </c>
      <c r="E292" s="2">
        <v>9800000</v>
      </c>
      <c r="F292" s="3">
        <v>1517.8234</v>
      </c>
      <c r="G292" t="s">
        <v>84</v>
      </c>
      <c r="H292">
        <v>175</v>
      </c>
      <c r="I292">
        <v>4</v>
      </c>
      <c r="J292">
        <v>2002</v>
      </c>
      <c r="K292">
        <v>1</v>
      </c>
      <c r="L292" t="s">
        <v>241</v>
      </c>
    </row>
    <row r="293" spans="1:12" x14ac:dyDescent="0.25">
      <c r="A293">
        <v>293</v>
      </c>
      <c r="B293" t="s">
        <v>552</v>
      </c>
      <c r="C293" t="s">
        <v>56</v>
      </c>
      <c r="D293" t="s">
        <v>1057</v>
      </c>
      <c r="E293" s="2">
        <v>20800000</v>
      </c>
      <c r="F293" s="3">
        <v>1515.7374</v>
      </c>
      <c r="G293" t="s">
        <v>20</v>
      </c>
      <c r="H293">
        <v>90</v>
      </c>
      <c r="I293">
        <v>35</v>
      </c>
      <c r="J293">
        <v>2014</v>
      </c>
      <c r="K293">
        <v>1</v>
      </c>
      <c r="L293" t="s">
        <v>553</v>
      </c>
    </row>
    <row r="294" spans="1:12" x14ac:dyDescent="0.25">
      <c r="A294">
        <v>294</v>
      </c>
      <c r="B294" t="s">
        <v>554</v>
      </c>
      <c r="C294" t="s">
        <v>23</v>
      </c>
      <c r="D294" t="s">
        <v>321</v>
      </c>
      <c r="E294" s="2">
        <v>3600000</v>
      </c>
      <c r="F294" s="3">
        <v>1515.61</v>
      </c>
      <c r="G294" t="s">
        <v>20</v>
      </c>
      <c r="H294">
        <v>63</v>
      </c>
      <c r="I294">
        <v>6</v>
      </c>
      <c r="J294">
        <v>2015</v>
      </c>
      <c r="K294">
        <v>1</v>
      </c>
      <c r="L294" t="s">
        <v>25</v>
      </c>
    </row>
    <row r="295" spans="1:12" x14ac:dyDescent="0.25">
      <c r="A295">
        <v>295</v>
      </c>
      <c r="B295" t="s">
        <v>555</v>
      </c>
      <c r="C295" t="s">
        <v>23</v>
      </c>
      <c r="D295" t="s">
        <v>321</v>
      </c>
      <c r="E295" s="2">
        <v>2200000</v>
      </c>
      <c r="F295" s="3">
        <v>1514.6812</v>
      </c>
      <c r="G295" t="s">
        <v>134</v>
      </c>
      <c r="H295">
        <v>22</v>
      </c>
      <c r="I295">
        <v>3</v>
      </c>
      <c r="J295">
        <v>2014</v>
      </c>
      <c r="K295">
        <v>1</v>
      </c>
      <c r="L295" t="s">
        <v>556</v>
      </c>
    </row>
    <row r="296" spans="1:12" x14ac:dyDescent="0.25">
      <c r="A296">
        <v>296</v>
      </c>
      <c r="B296" t="s">
        <v>557</v>
      </c>
      <c r="C296" t="s">
        <v>46</v>
      </c>
      <c r="D296" t="s">
        <v>397</v>
      </c>
      <c r="E296" s="2">
        <v>6300000</v>
      </c>
      <c r="F296" s="3">
        <v>1508.6474000000001</v>
      </c>
      <c r="G296" t="s">
        <v>73</v>
      </c>
      <c r="H296">
        <v>44</v>
      </c>
      <c r="I296">
        <v>15</v>
      </c>
      <c r="J296">
        <v>2012</v>
      </c>
      <c r="K296">
        <v>2</v>
      </c>
      <c r="L296" t="s">
        <v>47</v>
      </c>
    </row>
    <row r="297" spans="1:12" x14ac:dyDescent="0.25">
      <c r="A297">
        <v>297</v>
      </c>
      <c r="B297" t="s">
        <v>558</v>
      </c>
      <c r="C297" t="s">
        <v>72</v>
      </c>
      <c r="D297" t="s">
        <v>1059</v>
      </c>
      <c r="E297" s="2">
        <v>9100000</v>
      </c>
      <c r="F297" s="3">
        <v>1507.9686999999999</v>
      </c>
      <c r="G297" t="s">
        <v>7</v>
      </c>
      <c r="H297">
        <v>15</v>
      </c>
      <c r="I297">
        <v>5</v>
      </c>
      <c r="J297">
        <v>2008</v>
      </c>
      <c r="K297">
        <v>3</v>
      </c>
      <c r="L297" t="s">
        <v>559</v>
      </c>
    </row>
    <row r="298" spans="1:12" x14ac:dyDescent="0.25">
      <c r="A298">
        <v>298</v>
      </c>
      <c r="B298" t="s">
        <v>560</v>
      </c>
      <c r="C298" t="s">
        <v>38</v>
      </c>
      <c r="D298" t="s">
        <v>1013</v>
      </c>
      <c r="E298" s="2">
        <v>11800000</v>
      </c>
      <c r="F298" s="3">
        <v>1505.6425999999999</v>
      </c>
      <c r="G298" t="s">
        <v>73</v>
      </c>
      <c r="H298">
        <v>102</v>
      </c>
      <c r="I298">
        <v>12</v>
      </c>
      <c r="J298">
        <v>2013</v>
      </c>
      <c r="K298">
        <v>1</v>
      </c>
      <c r="L298" t="s">
        <v>76</v>
      </c>
    </row>
    <row r="299" spans="1:12" x14ac:dyDescent="0.25">
      <c r="A299">
        <v>299</v>
      </c>
      <c r="B299" t="s">
        <v>561</v>
      </c>
      <c r="C299" t="s">
        <v>56</v>
      </c>
      <c r="D299" t="s">
        <v>1057</v>
      </c>
      <c r="E299" s="2">
        <v>3200000</v>
      </c>
      <c r="F299" s="3">
        <v>1501.0992000000001</v>
      </c>
      <c r="G299" t="s">
        <v>3</v>
      </c>
      <c r="H299">
        <v>35</v>
      </c>
      <c r="I299">
        <v>3</v>
      </c>
      <c r="J299">
        <v>2011</v>
      </c>
      <c r="K299">
        <v>1</v>
      </c>
      <c r="L299" t="s">
        <v>57</v>
      </c>
    </row>
    <row r="300" spans="1:12" x14ac:dyDescent="0.25">
      <c r="A300">
        <v>300</v>
      </c>
      <c r="B300" t="s">
        <v>562</v>
      </c>
      <c r="C300" t="s">
        <v>23</v>
      </c>
      <c r="D300" t="s">
        <v>321</v>
      </c>
      <c r="E300" s="2">
        <v>14100000</v>
      </c>
      <c r="F300" s="3">
        <v>1496.3723</v>
      </c>
      <c r="G300" t="s">
        <v>24</v>
      </c>
      <c r="H300">
        <v>100</v>
      </c>
      <c r="I300">
        <v>10</v>
      </c>
      <c r="J300">
        <v>2012</v>
      </c>
      <c r="K300">
        <v>1</v>
      </c>
      <c r="L300" t="s">
        <v>563</v>
      </c>
    </row>
    <row r="301" spans="1:12" x14ac:dyDescent="0.25">
      <c r="A301">
        <v>301</v>
      </c>
      <c r="B301" t="s">
        <v>564</v>
      </c>
      <c r="C301" t="s">
        <v>72</v>
      </c>
      <c r="D301" t="s">
        <v>1059</v>
      </c>
      <c r="E301" s="2">
        <v>6600000</v>
      </c>
      <c r="F301" s="3">
        <v>1493.1967</v>
      </c>
      <c r="G301" t="s">
        <v>101</v>
      </c>
      <c r="H301">
        <v>20</v>
      </c>
      <c r="I301">
        <v>4</v>
      </c>
      <c r="J301">
        <v>2015</v>
      </c>
      <c r="K301">
        <v>1</v>
      </c>
      <c r="L301" t="s">
        <v>74</v>
      </c>
    </row>
    <row r="302" spans="1:12" x14ac:dyDescent="0.25">
      <c r="A302">
        <v>302</v>
      </c>
      <c r="B302" t="s">
        <v>565</v>
      </c>
      <c r="C302" t="s">
        <v>46</v>
      </c>
      <c r="D302" t="s">
        <v>397</v>
      </c>
      <c r="E302" s="2">
        <v>2700000</v>
      </c>
      <c r="F302" s="3">
        <v>1488.4058</v>
      </c>
      <c r="G302" t="s">
        <v>16</v>
      </c>
      <c r="H302">
        <v>46</v>
      </c>
      <c r="I302">
        <v>2</v>
      </c>
      <c r="J302">
        <v>2014</v>
      </c>
      <c r="K302">
        <v>1</v>
      </c>
      <c r="L302" t="s">
        <v>566</v>
      </c>
    </row>
    <row r="303" spans="1:12" x14ac:dyDescent="0.25">
      <c r="A303">
        <v>303</v>
      </c>
      <c r="B303" t="s">
        <v>567</v>
      </c>
      <c r="C303" t="s">
        <v>23</v>
      </c>
      <c r="D303" t="s">
        <v>321</v>
      </c>
      <c r="E303" s="2">
        <v>47100000</v>
      </c>
      <c r="F303" s="3">
        <v>1487.4149</v>
      </c>
      <c r="G303" t="s">
        <v>7</v>
      </c>
      <c r="H303">
        <v>55</v>
      </c>
      <c r="I303">
        <v>6</v>
      </c>
      <c r="J303">
        <v>2014</v>
      </c>
      <c r="K303">
        <v>1</v>
      </c>
      <c r="L303" t="s">
        <v>92</v>
      </c>
    </row>
    <row r="304" spans="1:12" x14ac:dyDescent="0.25">
      <c r="A304">
        <v>304</v>
      </c>
      <c r="B304" t="s">
        <v>568</v>
      </c>
      <c r="C304" t="s">
        <v>38</v>
      </c>
      <c r="D304" t="s">
        <v>1013</v>
      </c>
      <c r="E304" s="2">
        <v>65200000</v>
      </c>
      <c r="F304" s="3">
        <v>1482.0707</v>
      </c>
      <c r="G304" t="s">
        <v>3</v>
      </c>
      <c r="H304">
        <v>203</v>
      </c>
      <c r="I304">
        <v>140</v>
      </c>
      <c r="J304">
        <v>2005</v>
      </c>
      <c r="K304">
        <v>2</v>
      </c>
      <c r="L304" t="s">
        <v>569</v>
      </c>
    </row>
    <row r="305" spans="1:12" x14ac:dyDescent="0.25">
      <c r="A305">
        <v>305</v>
      </c>
      <c r="B305" t="s">
        <v>570</v>
      </c>
      <c r="C305" t="s">
        <v>50</v>
      </c>
      <c r="D305" t="s">
        <v>52</v>
      </c>
      <c r="E305" s="2">
        <v>4400000</v>
      </c>
      <c r="F305" s="3">
        <v>1480.2849000000001</v>
      </c>
      <c r="G305" t="s">
        <v>73</v>
      </c>
      <c r="H305">
        <v>80</v>
      </c>
      <c r="I305">
        <v>9</v>
      </c>
      <c r="J305">
        <v>2013</v>
      </c>
      <c r="K305">
        <v>1</v>
      </c>
      <c r="L305" t="s">
        <v>52</v>
      </c>
    </row>
    <row r="306" spans="1:12" x14ac:dyDescent="0.25">
      <c r="A306">
        <v>306</v>
      </c>
      <c r="B306" t="s">
        <v>571</v>
      </c>
      <c r="C306" t="s">
        <v>151</v>
      </c>
      <c r="D306" t="s">
        <v>1067</v>
      </c>
      <c r="E306" s="2">
        <v>76900000</v>
      </c>
      <c r="F306" s="3">
        <v>1472.3901000000001</v>
      </c>
      <c r="G306" t="s">
        <v>24</v>
      </c>
      <c r="H306">
        <v>60</v>
      </c>
      <c r="I306">
        <v>30</v>
      </c>
      <c r="J306">
        <v>2012</v>
      </c>
      <c r="K306">
        <v>1</v>
      </c>
      <c r="L306" t="s">
        <v>572</v>
      </c>
    </row>
    <row r="307" spans="1:12" x14ac:dyDescent="0.25">
      <c r="A307">
        <v>307</v>
      </c>
      <c r="B307" t="s">
        <v>573</v>
      </c>
      <c r="C307" t="s">
        <v>56</v>
      </c>
      <c r="D307" t="s">
        <v>1057</v>
      </c>
      <c r="E307" s="2">
        <v>16100000.000000002</v>
      </c>
      <c r="F307" s="3">
        <v>1469.7828</v>
      </c>
      <c r="G307" t="s">
        <v>3</v>
      </c>
      <c r="H307">
        <v>36</v>
      </c>
      <c r="I307">
        <v>6</v>
      </c>
      <c r="J307">
        <v>2012</v>
      </c>
      <c r="K307">
        <v>3</v>
      </c>
      <c r="L307" t="s">
        <v>57</v>
      </c>
    </row>
    <row r="308" spans="1:12" x14ac:dyDescent="0.25">
      <c r="A308">
        <v>308</v>
      </c>
      <c r="B308" t="s">
        <v>574</v>
      </c>
      <c r="C308" t="s">
        <v>38</v>
      </c>
      <c r="D308" t="s">
        <v>1013</v>
      </c>
      <c r="E308" s="2">
        <v>6800000</v>
      </c>
      <c r="F308" s="3">
        <v>1469.3516999999999</v>
      </c>
      <c r="G308" t="s">
        <v>20</v>
      </c>
      <c r="H308">
        <v>19</v>
      </c>
      <c r="I308">
        <v>3</v>
      </c>
      <c r="J308">
        <v>2014</v>
      </c>
      <c r="K308">
        <v>1</v>
      </c>
      <c r="L308" t="s">
        <v>63</v>
      </c>
    </row>
    <row r="309" spans="1:12" x14ac:dyDescent="0.25">
      <c r="A309">
        <v>309</v>
      </c>
      <c r="B309" t="s">
        <v>575</v>
      </c>
      <c r="C309" t="s">
        <v>38</v>
      </c>
      <c r="D309" t="s">
        <v>1013</v>
      </c>
      <c r="E309" s="2">
        <v>2900000</v>
      </c>
      <c r="F309" s="3">
        <v>1468.3844999999999</v>
      </c>
      <c r="G309" t="s">
        <v>3</v>
      </c>
      <c r="H309">
        <v>18</v>
      </c>
      <c r="I309">
        <v>8</v>
      </c>
      <c r="J309">
        <v>2015</v>
      </c>
      <c r="K309">
        <v>1</v>
      </c>
      <c r="L309" t="s">
        <v>576</v>
      </c>
    </row>
    <row r="310" spans="1:12" x14ac:dyDescent="0.25">
      <c r="A310">
        <v>310</v>
      </c>
      <c r="B310" t="s">
        <v>577</v>
      </c>
      <c r="C310" t="s">
        <v>35</v>
      </c>
      <c r="D310" t="s">
        <v>1055</v>
      </c>
      <c r="E310" s="2">
        <v>3400000</v>
      </c>
      <c r="F310" s="3">
        <v>1467.1741</v>
      </c>
      <c r="G310" t="s">
        <v>7</v>
      </c>
      <c r="H310">
        <v>23</v>
      </c>
      <c r="I310">
        <v>2</v>
      </c>
      <c r="J310">
        <v>2012</v>
      </c>
      <c r="K310">
        <v>1</v>
      </c>
      <c r="L310" t="s">
        <v>578</v>
      </c>
    </row>
    <row r="311" spans="1:12" x14ac:dyDescent="0.25">
      <c r="A311">
        <v>311</v>
      </c>
      <c r="B311" t="s">
        <v>579</v>
      </c>
      <c r="C311" t="s">
        <v>23</v>
      </c>
      <c r="D311" t="s">
        <v>321</v>
      </c>
      <c r="E311" s="2">
        <v>5800000</v>
      </c>
      <c r="F311" s="3">
        <v>1464.4640999999999</v>
      </c>
      <c r="G311" t="s">
        <v>87</v>
      </c>
      <c r="H311">
        <v>6</v>
      </c>
      <c r="I311">
        <v>2</v>
      </c>
      <c r="J311">
        <v>2014</v>
      </c>
      <c r="K311">
        <v>1</v>
      </c>
      <c r="L311" t="s">
        <v>580</v>
      </c>
    </row>
    <row r="312" spans="1:12" x14ac:dyDescent="0.25">
      <c r="A312">
        <v>312</v>
      </c>
      <c r="B312" t="s">
        <v>581</v>
      </c>
      <c r="C312" t="s">
        <v>38</v>
      </c>
      <c r="D312" t="s">
        <v>1013</v>
      </c>
      <c r="E312" s="2">
        <v>3200000</v>
      </c>
      <c r="F312" s="3">
        <v>1460.6844000000001</v>
      </c>
      <c r="G312" t="s">
        <v>152</v>
      </c>
      <c r="H312">
        <v>55</v>
      </c>
      <c r="I312">
        <v>4</v>
      </c>
      <c r="J312">
        <v>2015</v>
      </c>
      <c r="K312">
        <v>1</v>
      </c>
      <c r="L312" t="s">
        <v>582</v>
      </c>
    </row>
    <row r="313" spans="1:12" x14ac:dyDescent="0.25">
      <c r="A313">
        <v>313</v>
      </c>
      <c r="B313" t="s">
        <v>583</v>
      </c>
      <c r="C313" t="s">
        <v>38</v>
      </c>
      <c r="D313" t="s">
        <v>1013</v>
      </c>
      <c r="E313" s="2">
        <v>5300000</v>
      </c>
      <c r="F313" s="3">
        <v>1458.0881999999999</v>
      </c>
      <c r="G313" t="s">
        <v>16</v>
      </c>
      <c r="H313">
        <v>15</v>
      </c>
      <c r="I313">
        <v>4</v>
      </c>
      <c r="J313">
        <v>2014</v>
      </c>
      <c r="K313">
        <v>1</v>
      </c>
      <c r="L313" t="s">
        <v>584</v>
      </c>
    </row>
    <row r="314" spans="1:12" x14ac:dyDescent="0.25">
      <c r="A314">
        <v>314</v>
      </c>
      <c r="B314" t="s">
        <v>585</v>
      </c>
      <c r="C314" t="s">
        <v>543</v>
      </c>
      <c r="D314" t="s">
        <v>1012</v>
      </c>
      <c r="E314" s="2">
        <v>2000000</v>
      </c>
      <c r="F314" s="3">
        <v>1455.2822000000001</v>
      </c>
      <c r="G314" t="s">
        <v>73</v>
      </c>
      <c r="H314">
        <v>41</v>
      </c>
      <c r="I314">
        <v>15</v>
      </c>
      <c r="J314">
        <v>2015</v>
      </c>
      <c r="K314">
        <v>1</v>
      </c>
      <c r="L314" t="s">
        <v>586</v>
      </c>
    </row>
    <row r="315" spans="1:12" x14ac:dyDescent="0.25">
      <c r="A315">
        <v>315</v>
      </c>
      <c r="B315" t="s">
        <v>587</v>
      </c>
      <c r="C315" t="s">
        <v>38</v>
      </c>
      <c r="D315" t="s">
        <v>1013</v>
      </c>
      <c r="E315" s="2">
        <v>35700000</v>
      </c>
      <c r="F315" s="3">
        <v>1454.4016999999999</v>
      </c>
      <c r="G315" t="s">
        <v>3</v>
      </c>
      <c r="H315">
        <v>70</v>
      </c>
      <c r="I315">
        <v>5</v>
      </c>
      <c r="J315">
        <v>2014</v>
      </c>
      <c r="K315">
        <v>1</v>
      </c>
      <c r="L315" t="s">
        <v>63</v>
      </c>
    </row>
    <row r="316" spans="1:12" x14ac:dyDescent="0.25">
      <c r="A316">
        <v>316</v>
      </c>
      <c r="B316" t="s">
        <v>588</v>
      </c>
      <c r="C316" t="s">
        <v>41</v>
      </c>
      <c r="D316" t="s">
        <v>1056</v>
      </c>
      <c r="E316" s="2">
        <v>9900000</v>
      </c>
      <c r="F316" s="3">
        <v>1449.1161</v>
      </c>
      <c r="G316" t="s">
        <v>7</v>
      </c>
      <c r="H316">
        <v>11</v>
      </c>
      <c r="I316">
        <v>1</v>
      </c>
      <c r="J316">
        <v>2015</v>
      </c>
      <c r="K316">
        <v>1</v>
      </c>
      <c r="L316" t="s">
        <v>42</v>
      </c>
    </row>
    <row r="317" spans="1:12" x14ac:dyDescent="0.25">
      <c r="A317">
        <v>317</v>
      </c>
      <c r="B317" t="s">
        <v>589</v>
      </c>
      <c r="C317" t="s">
        <v>66</v>
      </c>
      <c r="D317" t="s">
        <v>1058</v>
      </c>
      <c r="E317" s="2">
        <v>2300000</v>
      </c>
      <c r="F317" s="3">
        <v>1447.5148999999999</v>
      </c>
      <c r="G317" t="s">
        <v>24</v>
      </c>
      <c r="H317">
        <v>20</v>
      </c>
      <c r="I317">
        <v>5</v>
      </c>
      <c r="J317">
        <v>2015</v>
      </c>
      <c r="K317">
        <v>1</v>
      </c>
      <c r="L317" t="s">
        <v>590</v>
      </c>
    </row>
    <row r="318" spans="1:12" x14ac:dyDescent="0.25">
      <c r="A318">
        <v>318</v>
      </c>
      <c r="B318" t="s">
        <v>591</v>
      </c>
      <c r="C318" t="s">
        <v>11</v>
      </c>
      <c r="D318" t="s">
        <v>1050</v>
      </c>
      <c r="E318" s="2">
        <v>5800000</v>
      </c>
      <c r="F318" s="3">
        <v>1444.5616</v>
      </c>
      <c r="G318" t="s">
        <v>16</v>
      </c>
      <c r="H318">
        <v>10</v>
      </c>
      <c r="I318">
        <v>2</v>
      </c>
      <c r="J318">
        <v>2015</v>
      </c>
      <c r="K318">
        <v>1</v>
      </c>
      <c r="L318" t="s">
        <v>13</v>
      </c>
    </row>
    <row r="319" spans="1:12" x14ac:dyDescent="0.25">
      <c r="A319">
        <v>319</v>
      </c>
      <c r="B319" t="s">
        <v>592</v>
      </c>
      <c r="C319" t="s">
        <v>11</v>
      </c>
      <c r="D319" t="s">
        <v>1050</v>
      </c>
      <c r="E319" s="2">
        <v>2800000</v>
      </c>
      <c r="F319" s="3">
        <v>1444.146</v>
      </c>
      <c r="G319" t="s">
        <v>261</v>
      </c>
      <c r="H319">
        <v>15</v>
      </c>
      <c r="I319">
        <v>2</v>
      </c>
      <c r="J319">
        <v>2014</v>
      </c>
      <c r="K319">
        <v>1</v>
      </c>
      <c r="L319" t="s">
        <v>593</v>
      </c>
    </row>
    <row r="320" spans="1:12" x14ac:dyDescent="0.25">
      <c r="A320">
        <v>320</v>
      </c>
      <c r="B320" t="s">
        <v>594</v>
      </c>
      <c r="C320" t="s">
        <v>38</v>
      </c>
      <c r="D320" t="s">
        <v>1013</v>
      </c>
      <c r="E320" s="2">
        <v>25100000</v>
      </c>
      <c r="F320" s="3">
        <v>1437.6078</v>
      </c>
      <c r="G320" t="s">
        <v>73</v>
      </c>
      <c r="H320">
        <v>179</v>
      </c>
      <c r="I320">
        <v>131</v>
      </c>
      <c r="J320">
        <v>2010</v>
      </c>
      <c r="K320">
        <v>1</v>
      </c>
      <c r="L320" t="s">
        <v>595</v>
      </c>
    </row>
    <row r="321" spans="1:12" x14ac:dyDescent="0.25">
      <c r="A321">
        <v>321</v>
      </c>
      <c r="B321" t="s">
        <v>596</v>
      </c>
      <c r="C321" t="s">
        <v>219</v>
      </c>
      <c r="D321" t="s">
        <v>1071</v>
      </c>
      <c r="E321" s="2">
        <v>134199999.99999999</v>
      </c>
      <c r="F321" s="3">
        <v>1434.9543000000001</v>
      </c>
      <c r="G321" t="s">
        <v>51</v>
      </c>
      <c r="H321">
        <v>308</v>
      </c>
      <c r="I321">
        <v>27</v>
      </c>
      <c r="J321">
        <v>2012</v>
      </c>
      <c r="K321">
        <v>4</v>
      </c>
      <c r="L321" t="s">
        <v>220</v>
      </c>
    </row>
    <row r="322" spans="1:12" x14ac:dyDescent="0.25">
      <c r="A322">
        <v>322</v>
      </c>
      <c r="B322" t="s">
        <v>597</v>
      </c>
      <c r="C322" t="s">
        <v>38</v>
      </c>
      <c r="D322" t="s">
        <v>1013</v>
      </c>
      <c r="E322" s="2">
        <v>5000000</v>
      </c>
      <c r="F322" s="3">
        <v>1433.9761000000001</v>
      </c>
      <c r="G322" t="s">
        <v>3</v>
      </c>
      <c r="H322">
        <v>47</v>
      </c>
      <c r="I322">
        <v>8</v>
      </c>
      <c r="J322">
        <v>2014</v>
      </c>
      <c r="K322">
        <v>2</v>
      </c>
      <c r="L322" t="s">
        <v>598</v>
      </c>
    </row>
    <row r="323" spans="1:12" x14ac:dyDescent="0.25">
      <c r="A323">
        <v>323</v>
      </c>
      <c r="B323" t="s">
        <v>599</v>
      </c>
      <c r="C323" t="s">
        <v>38</v>
      </c>
      <c r="D323" t="s">
        <v>1013</v>
      </c>
      <c r="E323" s="2">
        <v>8199999.9999999991</v>
      </c>
      <c r="F323" s="3">
        <v>1426.4898000000001</v>
      </c>
      <c r="G323" t="s">
        <v>73</v>
      </c>
      <c r="H323">
        <v>203</v>
      </c>
      <c r="I323">
        <v>52</v>
      </c>
      <c r="J323">
        <v>2012</v>
      </c>
      <c r="K323">
        <v>2</v>
      </c>
      <c r="L323" t="s">
        <v>63</v>
      </c>
    </row>
    <row r="324" spans="1:12" x14ac:dyDescent="0.25">
      <c r="A324">
        <v>324</v>
      </c>
      <c r="B324" t="s">
        <v>600</v>
      </c>
      <c r="C324" t="s">
        <v>23</v>
      </c>
      <c r="D324" t="s">
        <v>321</v>
      </c>
      <c r="E324" s="2">
        <v>2600000</v>
      </c>
      <c r="F324" s="3">
        <v>1423.6886</v>
      </c>
      <c r="G324" t="s">
        <v>97</v>
      </c>
      <c r="H324">
        <v>6</v>
      </c>
      <c r="I324">
        <v>1</v>
      </c>
      <c r="J324">
        <v>2014</v>
      </c>
      <c r="K324">
        <v>1</v>
      </c>
      <c r="L324" t="s">
        <v>601</v>
      </c>
    </row>
    <row r="325" spans="1:12" x14ac:dyDescent="0.25">
      <c r="A325">
        <v>325</v>
      </c>
      <c r="B325" t="s">
        <v>602</v>
      </c>
      <c r="C325" t="s">
        <v>11</v>
      </c>
      <c r="D325" t="s">
        <v>1050</v>
      </c>
      <c r="E325" s="2">
        <v>2300000</v>
      </c>
      <c r="F325" s="3">
        <v>1423.4909</v>
      </c>
      <c r="G325" t="s">
        <v>87</v>
      </c>
      <c r="H325">
        <v>14</v>
      </c>
      <c r="I325">
        <v>3</v>
      </c>
      <c r="J325">
        <v>2015</v>
      </c>
      <c r="K325">
        <v>1</v>
      </c>
      <c r="L325" t="s">
        <v>120</v>
      </c>
    </row>
    <row r="326" spans="1:12" x14ac:dyDescent="0.25">
      <c r="A326">
        <v>326</v>
      </c>
      <c r="B326" t="s">
        <v>603</v>
      </c>
      <c r="C326" t="s">
        <v>11</v>
      </c>
      <c r="D326" t="s">
        <v>1050</v>
      </c>
      <c r="E326" s="2">
        <v>3800000</v>
      </c>
      <c r="F326" s="3">
        <v>1423.4061999999999</v>
      </c>
      <c r="G326" t="s">
        <v>20</v>
      </c>
      <c r="H326">
        <v>10</v>
      </c>
      <c r="I326">
        <v>2</v>
      </c>
      <c r="J326">
        <v>2009</v>
      </c>
      <c r="K326">
        <v>1</v>
      </c>
      <c r="L326" t="s">
        <v>13</v>
      </c>
    </row>
    <row r="327" spans="1:12" x14ac:dyDescent="0.25">
      <c r="A327">
        <v>327</v>
      </c>
      <c r="B327" t="s">
        <v>604</v>
      </c>
      <c r="C327" t="s">
        <v>38</v>
      </c>
      <c r="D327" t="s">
        <v>1013</v>
      </c>
      <c r="E327" s="2">
        <v>6800000</v>
      </c>
      <c r="F327" s="3">
        <v>1417.8894</v>
      </c>
      <c r="G327" t="s">
        <v>134</v>
      </c>
      <c r="H327">
        <v>24</v>
      </c>
      <c r="I327">
        <v>8</v>
      </c>
      <c r="J327">
        <v>2012</v>
      </c>
      <c r="K327">
        <v>1</v>
      </c>
      <c r="L327" t="s">
        <v>391</v>
      </c>
    </row>
    <row r="328" spans="1:12" x14ac:dyDescent="0.25">
      <c r="A328">
        <v>328</v>
      </c>
      <c r="B328" t="s">
        <v>605</v>
      </c>
      <c r="C328" t="s">
        <v>11</v>
      </c>
      <c r="D328" t="s">
        <v>1050</v>
      </c>
      <c r="E328" s="2">
        <v>27300000</v>
      </c>
      <c r="F328" s="3">
        <v>1408.6405</v>
      </c>
      <c r="G328" t="s">
        <v>73</v>
      </c>
      <c r="H328">
        <v>101</v>
      </c>
      <c r="I328">
        <v>13</v>
      </c>
      <c r="J328">
        <v>2013</v>
      </c>
      <c r="K328">
        <v>2</v>
      </c>
      <c r="L328" t="s">
        <v>606</v>
      </c>
    </row>
    <row r="329" spans="1:12" x14ac:dyDescent="0.25">
      <c r="A329">
        <v>329</v>
      </c>
      <c r="B329" t="s">
        <v>607</v>
      </c>
      <c r="C329" t="s">
        <v>107</v>
      </c>
      <c r="D329" t="s">
        <v>1064</v>
      </c>
      <c r="E329" s="2">
        <v>9700000</v>
      </c>
      <c r="F329" s="3">
        <v>1408.0842</v>
      </c>
      <c r="G329" t="s">
        <v>3</v>
      </c>
      <c r="H329">
        <v>18</v>
      </c>
      <c r="I329">
        <v>5</v>
      </c>
      <c r="J329">
        <v>2012</v>
      </c>
      <c r="K329">
        <v>1</v>
      </c>
      <c r="L329" t="s">
        <v>608</v>
      </c>
    </row>
    <row r="330" spans="1:12" x14ac:dyDescent="0.25">
      <c r="A330">
        <v>330</v>
      </c>
      <c r="B330" t="s">
        <v>609</v>
      </c>
      <c r="C330" t="s">
        <v>100</v>
      </c>
      <c r="D330" t="s">
        <v>1062</v>
      </c>
      <c r="E330" s="2">
        <v>2900000</v>
      </c>
      <c r="F330" s="3">
        <v>1407.5845999999999</v>
      </c>
      <c r="G330" t="s">
        <v>73</v>
      </c>
      <c r="H330">
        <v>25</v>
      </c>
      <c r="I330">
        <v>1</v>
      </c>
      <c r="J330">
        <v>2015</v>
      </c>
      <c r="K330">
        <v>1</v>
      </c>
      <c r="L330" t="s">
        <v>186</v>
      </c>
    </row>
    <row r="331" spans="1:12" x14ac:dyDescent="0.25">
      <c r="A331">
        <v>331</v>
      </c>
      <c r="B331" t="s">
        <v>610</v>
      </c>
      <c r="C331" t="s">
        <v>11</v>
      </c>
      <c r="D331" t="s">
        <v>1050</v>
      </c>
      <c r="E331" s="2">
        <v>16200000</v>
      </c>
      <c r="F331" s="3">
        <v>1405.9213</v>
      </c>
      <c r="G331" t="s">
        <v>7</v>
      </c>
      <c r="H331">
        <v>84</v>
      </c>
      <c r="I331">
        <v>22</v>
      </c>
      <c r="J331">
        <v>2014</v>
      </c>
      <c r="K331">
        <v>1</v>
      </c>
      <c r="L331" t="s">
        <v>13</v>
      </c>
    </row>
    <row r="332" spans="1:12" x14ac:dyDescent="0.25">
      <c r="A332">
        <v>332</v>
      </c>
      <c r="B332" t="s">
        <v>611</v>
      </c>
      <c r="C332" t="s">
        <v>56</v>
      </c>
      <c r="D332" t="s">
        <v>1057</v>
      </c>
      <c r="E332" s="2">
        <v>2000000</v>
      </c>
      <c r="F332" s="3">
        <v>1405.0606</v>
      </c>
      <c r="G332" t="s">
        <v>3</v>
      </c>
      <c r="H332">
        <v>12</v>
      </c>
      <c r="I332">
        <v>2</v>
      </c>
      <c r="J332">
        <v>2007</v>
      </c>
      <c r="K332">
        <v>1</v>
      </c>
      <c r="L332" t="s">
        <v>612</v>
      </c>
    </row>
    <row r="333" spans="1:12" x14ac:dyDescent="0.25">
      <c r="A333">
        <v>333</v>
      </c>
      <c r="B333" t="s">
        <v>613</v>
      </c>
      <c r="C333" t="s">
        <v>50</v>
      </c>
      <c r="D333" t="s">
        <v>52</v>
      </c>
      <c r="E333" s="2">
        <v>3400000</v>
      </c>
      <c r="F333" s="3">
        <v>1404.0037</v>
      </c>
      <c r="G333" t="s">
        <v>51</v>
      </c>
      <c r="H333">
        <v>54</v>
      </c>
      <c r="I333">
        <v>20</v>
      </c>
      <c r="J333">
        <v>2013</v>
      </c>
      <c r="K333">
        <v>1</v>
      </c>
      <c r="L333" t="s">
        <v>52</v>
      </c>
    </row>
    <row r="334" spans="1:12" x14ac:dyDescent="0.25">
      <c r="A334">
        <v>334</v>
      </c>
      <c r="B334" t="s">
        <v>614</v>
      </c>
      <c r="C334" t="s">
        <v>23</v>
      </c>
      <c r="D334" t="s">
        <v>321</v>
      </c>
      <c r="E334" s="2">
        <v>4000000</v>
      </c>
      <c r="F334" s="3">
        <v>1399.7156</v>
      </c>
      <c r="G334" t="s">
        <v>3</v>
      </c>
      <c r="H334">
        <v>38</v>
      </c>
      <c r="I334">
        <v>1</v>
      </c>
      <c r="J334">
        <v>2014</v>
      </c>
      <c r="K334">
        <v>2</v>
      </c>
      <c r="L334" t="s">
        <v>615</v>
      </c>
    </row>
    <row r="335" spans="1:12" x14ac:dyDescent="0.25">
      <c r="A335">
        <v>335</v>
      </c>
      <c r="B335" t="s">
        <v>616</v>
      </c>
      <c r="C335" t="s">
        <v>2</v>
      </c>
      <c r="D335" t="s">
        <v>1048</v>
      </c>
      <c r="E335" s="2">
        <v>2800000</v>
      </c>
      <c r="F335" s="3">
        <v>1398.2575999999999</v>
      </c>
      <c r="G335" t="s">
        <v>134</v>
      </c>
      <c r="H335">
        <v>140</v>
      </c>
      <c r="I335">
        <v>35</v>
      </c>
      <c r="J335">
        <v>2015</v>
      </c>
      <c r="K335">
        <v>1</v>
      </c>
      <c r="L335" t="s">
        <v>4</v>
      </c>
    </row>
    <row r="336" spans="1:12" x14ac:dyDescent="0.25">
      <c r="A336">
        <v>336</v>
      </c>
      <c r="B336" t="s">
        <v>617</v>
      </c>
      <c r="C336" t="s">
        <v>151</v>
      </c>
      <c r="D336" t="s">
        <v>1067</v>
      </c>
      <c r="E336" s="2">
        <v>2200000</v>
      </c>
      <c r="F336" s="3">
        <v>1386.454</v>
      </c>
      <c r="G336" t="s">
        <v>87</v>
      </c>
      <c r="H336">
        <v>12</v>
      </c>
      <c r="I336">
        <v>4</v>
      </c>
      <c r="J336">
        <v>2014</v>
      </c>
      <c r="K336">
        <v>1</v>
      </c>
      <c r="L336" t="s">
        <v>618</v>
      </c>
    </row>
    <row r="337" spans="1:12" x14ac:dyDescent="0.25">
      <c r="A337">
        <v>337</v>
      </c>
      <c r="B337" t="s">
        <v>619</v>
      </c>
      <c r="C337" t="s">
        <v>11</v>
      </c>
      <c r="D337" t="s">
        <v>1050</v>
      </c>
      <c r="E337" s="2">
        <v>3700000</v>
      </c>
      <c r="F337" s="3">
        <v>1385.4507000000001</v>
      </c>
      <c r="G337" t="s">
        <v>84</v>
      </c>
      <c r="H337">
        <v>41</v>
      </c>
      <c r="I337">
        <v>7</v>
      </c>
      <c r="J337">
        <v>2014</v>
      </c>
      <c r="K337">
        <v>1</v>
      </c>
      <c r="L337" t="s">
        <v>294</v>
      </c>
    </row>
    <row r="338" spans="1:12" x14ac:dyDescent="0.25">
      <c r="A338">
        <v>338</v>
      </c>
      <c r="B338" t="s">
        <v>620</v>
      </c>
      <c r="C338" t="s">
        <v>50</v>
      </c>
      <c r="D338" t="s">
        <v>52</v>
      </c>
      <c r="E338" s="2">
        <v>5700000</v>
      </c>
      <c r="F338" s="3">
        <v>1379.7109</v>
      </c>
      <c r="G338" t="s">
        <v>73</v>
      </c>
      <c r="H338">
        <v>80</v>
      </c>
      <c r="I338">
        <v>31</v>
      </c>
      <c r="J338">
        <v>2013</v>
      </c>
      <c r="K338">
        <v>1</v>
      </c>
      <c r="L338" t="s">
        <v>52</v>
      </c>
    </row>
    <row r="339" spans="1:12" x14ac:dyDescent="0.25">
      <c r="A339">
        <v>339</v>
      </c>
      <c r="B339" t="s">
        <v>621</v>
      </c>
      <c r="C339" t="s">
        <v>11</v>
      </c>
      <c r="D339" t="s">
        <v>1050</v>
      </c>
      <c r="E339" s="2">
        <v>6000000</v>
      </c>
      <c r="F339" s="3">
        <v>1373.0107</v>
      </c>
      <c r="G339" t="s">
        <v>108</v>
      </c>
      <c r="H339">
        <v>9</v>
      </c>
      <c r="I339">
        <v>1</v>
      </c>
      <c r="J339">
        <v>2014</v>
      </c>
      <c r="K339">
        <v>1</v>
      </c>
      <c r="L339" t="s">
        <v>622</v>
      </c>
    </row>
    <row r="340" spans="1:12" x14ac:dyDescent="0.25">
      <c r="A340">
        <v>340</v>
      </c>
      <c r="B340" t="s">
        <v>623</v>
      </c>
      <c r="C340" t="s">
        <v>113</v>
      </c>
      <c r="D340" t="s">
        <v>1065</v>
      </c>
      <c r="E340" s="2">
        <v>2000000</v>
      </c>
      <c r="F340" s="3">
        <v>1358.9992999999999</v>
      </c>
      <c r="G340" t="s">
        <v>81</v>
      </c>
      <c r="H340">
        <v>5</v>
      </c>
      <c r="I340">
        <v>2</v>
      </c>
      <c r="J340">
        <v>2011</v>
      </c>
      <c r="K340">
        <v>1</v>
      </c>
      <c r="L340" t="s">
        <v>624</v>
      </c>
    </row>
    <row r="341" spans="1:12" x14ac:dyDescent="0.25">
      <c r="A341">
        <v>341</v>
      </c>
      <c r="B341" t="s">
        <v>625</v>
      </c>
      <c r="C341" t="s">
        <v>626</v>
      </c>
      <c r="D341" t="s">
        <v>1081</v>
      </c>
      <c r="E341" s="2">
        <v>2200000</v>
      </c>
      <c r="F341" s="3">
        <v>1354.3140000000001</v>
      </c>
      <c r="G341" t="s">
        <v>3</v>
      </c>
      <c r="H341">
        <v>7</v>
      </c>
      <c r="I341">
        <v>4</v>
      </c>
      <c r="J341">
        <v>2015</v>
      </c>
      <c r="K341">
        <v>1</v>
      </c>
      <c r="L341" t="s">
        <v>627</v>
      </c>
    </row>
    <row r="342" spans="1:12" x14ac:dyDescent="0.25">
      <c r="A342">
        <v>342</v>
      </c>
      <c r="B342" t="s">
        <v>628</v>
      </c>
      <c r="C342" t="s">
        <v>219</v>
      </c>
      <c r="D342" t="s">
        <v>1071</v>
      </c>
      <c r="E342" s="2">
        <v>12400000</v>
      </c>
      <c r="F342" s="3">
        <v>1347.2415000000001</v>
      </c>
      <c r="G342" t="s">
        <v>119</v>
      </c>
      <c r="H342">
        <v>171</v>
      </c>
      <c r="I342">
        <v>7</v>
      </c>
      <c r="J342">
        <v>2013</v>
      </c>
      <c r="K342">
        <v>1</v>
      </c>
      <c r="L342" t="s">
        <v>220</v>
      </c>
    </row>
    <row r="343" spans="1:12" x14ac:dyDescent="0.25">
      <c r="A343">
        <v>343</v>
      </c>
      <c r="B343" t="s">
        <v>629</v>
      </c>
      <c r="C343" t="s">
        <v>50</v>
      </c>
      <c r="D343" t="s">
        <v>52</v>
      </c>
      <c r="E343" s="2">
        <v>4300000</v>
      </c>
      <c r="F343" s="3">
        <v>1344.2615000000001</v>
      </c>
      <c r="G343" t="s">
        <v>101</v>
      </c>
      <c r="H343">
        <v>25</v>
      </c>
      <c r="I343">
        <v>3</v>
      </c>
      <c r="J343">
        <v>2015</v>
      </c>
      <c r="K343">
        <v>1</v>
      </c>
      <c r="L343" t="s">
        <v>52</v>
      </c>
    </row>
    <row r="344" spans="1:12" x14ac:dyDescent="0.25">
      <c r="A344">
        <v>344</v>
      </c>
      <c r="B344" t="s">
        <v>630</v>
      </c>
      <c r="C344" t="s">
        <v>23</v>
      </c>
      <c r="D344" t="s">
        <v>321</v>
      </c>
      <c r="E344" s="2">
        <v>33800000</v>
      </c>
      <c r="F344" s="3">
        <v>1332.9945</v>
      </c>
      <c r="G344" t="s">
        <v>3</v>
      </c>
      <c r="H344">
        <v>60</v>
      </c>
      <c r="I344">
        <v>5</v>
      </c>
      <c r="J344">
        <v>2013</v>
      </c>
      <c r="K344">
        <v>2</v>
      </c>
      <c r="L344" t="s">
        <v>326</v>
      </c>
    </row>
    <row r="345" spans="1:12" x14ac:dyDescent="0.25">
      <c r="A345">
        <v>345</v>
      </c>
      <c r="B345" t="s">
        <v>631</v>
      </c>
      <c r="C345" t="s">
        <v>2</v>
      </c>
      <c r="D345" t="s">
        <v>1048</v>
      </c>
      <c r="E345" s="2">
        <v>7200000</v>
      </c>
      <c r="F345" s="3">
        <v>1329.1786999999999</v>
      </c>
      <c r="G345" t="s">
        <v>152</v>
      </c>
      <c r="H345">
        <v>230</v>
      </c>
      <c r="I345">
        <v>16</v>
      </c>
      <c r="J345">
        <v>2015</v>
      </c>
      <c r="K345">
        <v>1</v>
      </c>
      <c r="L345" t="s">
        <v>272</v>
      </c>
    </row>
    <row r="346" spans="1:12" x14ac:dyDescent="0.25">
      <c r="A346">
        <v>346</v>
      </c>
      <c r="B346" t="s">
        <v>632</v>
      </c>
      <c r="C346" t="s">
        <v>38</v>
      </c>
      <c r="D346" t="s">
        <v>1013</v>
      </c>
      <c r="E346" s="2">
        <v>64300000</v>
      </c>
      <c r="F346" s="3">
        <v>1327.8114</v>
      </c>
      <c r="G346" t="s">
        <v>16</v>
      </c>
      <c r="H346">
        <v>21</v>
      </c>
      <c r="I346">
        <v>8</v>
      </c>
      <c r="J346">
        <v>2010</v>
      </c>
      <c r="K346">
        <v>4</v>
      </c>
      <c r="L346" t="s">
        <v>391</v>
      </c>
    </row>
    <row r="347" spans="1:12" x14ac:dyDescent="0.25">
      <c r="A347">
        <v>347</v>
      </c>
      <c r="B347" t="s">
        <v>633</v>
      </c>
      <c r="C347" t="s">
        <v>35</v>
      </c>
      <c r="D347" t="s">
        <v>1055</v>
      </c>
      <c r="E347" s="2">
        <v>2700000</v>
      </c>
      <c r="F347" s="3">
        <v>1326.3001999999999</v>
      </c>
      <c r="G347" t="s">
        <v>152</v>
      </c>
      <c r="H347">
        <v>2</v>
      </c>
      <c r="I347">
        <v>2</v>
      </c>
      <c r="J347">
        <v>2014</v>
      </c>
      <c r="K347">
        <v>1</v>
      </c>
      <c r="L347" t="s">
        <v>159</v>
      </c>
    </row>
    <row r="348" spans="1:12" x14ac:dyDescent="0.25">
      <c r="A348">
        <v>348</v>
      </c>
      <c r="B348" t="s">
        <v>634</v>
      </c>
      <c r="C348" t="s">
        <v>219</v>
      </c>
      <c r="D348" t="s">
        <v>1071</v>
      </c>
      <c r="E348" s="2">
        <v>29100000</v>
      </c>
      <c r="F348" s="3">
        <v>1323.2632000000001</v>
      </c>
      <c r="G348" t="s">
        <v>7</v>
      </c>
      <c r="H348">
        <v>15</v>
      </c>
      <c r="I348">
        <v>3</v>
      </c>
      <c r="J348">
        <v>2011</v>
      </c>
      <c r="K348">
        <v>1</v>
      </c>
      <c r="L348" t="s">
        <v>635</v>
      </c>
    </row>
    <row r="349" spans="1:12" x14ac:dyDescent="0.25">
      <c r="A349">
        <v>349</v>
      </c>
      <c r="B349" t="s">
        <v>636</v>
      </c>
      <c r="C349" t="s">
        <v>46</v>
      </c>
      <c r="D349" t="s">
        <v>397</v>
      </c>
      <c r="E349" s="2">
        <v>10400000</v>
      </c>
      <c r="F349" s="3">
        <v>1316.5717999999999</v>
      </c>
      <c r="G349" t="s">
        <v>16</v>
      </c>
      <c r="H349">
        <v>18</v>
      </c>
      <c r="I349">
        <v>4</v>
      </c>
      <c r="J349">
        <v>2013</v>
      </c>
      <c r="K349">
        <v>2</v>
      </c>
      <c r="L349" t="s">
        <v>47</v>
      </c>
    </row>
    <row r="350" spans="1:12" x14ac:dyDescent="0.25">
      <c r="A350">
        <v>350</v>
      </c>
      <c r="B350" t="s">
        <v>637</v>
      </c>
      <c r="C350" t="s">
        <v>38</v>
      </c>
      <c r="D350" t="s">
        <v>1013</v>
      </c>
      <c r="E350" s="2">
        <v>2300000</v>
      </c>
      <c r="F350" s="3">
        <v>1313.9536000000001</v>
      </c>
      <c r="G350" t="s">
        <v>73</v>
      </c>
      <c r="H350">
        <v>19</v>
      </c>
      <c r="I350">
        <v>4</v>
      </c>
      <c r="J350">
        <v>2012</v>
      </c>
      <c r="K350">
        <v>1</v>
      </c>
      <c r="L350" t="s">
        <v>175</v>
      </c>
    </row>
    <row r="351" spans="1:12" x14ac:dyDescent="0.25">
      <c r="A351">
        <v>351</v>
      </c>
      <c r="B351" t="s">
        <v>638</v>
      </c>
      <c r="C351" t="s">
        <v>38</v>
      </c>
      <c r="D351" t="s">
        <v>1013</v>
      </c>
      <c r="E351" s="2">
        <v>35300000</v>
      </c>
      <c r="F351" s="3">
        <v>1301.7556999999999</v>
      </c>
      <c r="G351" t="s">
        <v>51</v>
      </c>
      <c r="H351">
        <v>400</v>
      </c>
      <c r="I351">
        <v>55</v>
      </c>
      <c r="J351">
        <v>2012</v>
      </c>
      <c r="K351">
        <v>2</v>
      </c>
      <c r="L351" t="s">
        <v>76</v>
      </c>
    </row>
    <row r="352" spans="1:12" x14ac:dyDescent="0.25">
      <c r="A352">
        <v>352</v>
      </c>
      <c r="B352" t="s">
        <v>639</v>
      </c>
      <c r="C352" t="s">
        <v>38</v>
      </c>
      <c r="D352" t="s">
        <v>1013</v>
      </c>
      <c r="E352" s="2">
        <v>24200000</v>
      </c>
      <c r="F352" s="3">
        <v>1293.0074999999999</v>
      </c>
      <c r="G352" t="s">
        <v>12</v>
      </c>
      <c r="H352">
        <v>166</v>
      </c>
      <c r="I352">
        <v>37</v>
      </c>
      <c r="J352">
        <v>2014</v>
      </c>
      <c r="K352">
        <v>2</v>
      </c>
      <c r="L352" t="s">
        <v>640</v>
      </c>
    </row>
    <row r="353" spans="1:12" x14ac:dyDescent="0.25">
      <c r="A353">
        <v>353</v>
      </c>
      <c r="B353" t="s">
        <v>641</v>
      </c>
      <c r="C353" t="s">
        <v>6</v>
      </c>
      <c r="D353" t="s">
        <v>1049</v>
      </c>
      <c r="E353" s="2">
        <v>5700000</v>
      </c>
      <c r="F353" s="3">
        <v>1291.1366</v>
      </c>
      <c r="G353" t="s">
        <v>152</v>
      </c>
      <c r="H353">
        <v>15</v>
      </c>
      <c r="I353">
        <v>7</v>
      </c>
      <c r="J353">
        <v>2014</v>
      </c>
      <c r="K353">
        <v>1</v>
      </c>
      <c r="L353" t="s">
        <v>9</v>
      </c>
    </row>
    <row r="354" spans="1:12" x14ac:dyDescent="0.25">
      <c r="A354">
        <v>354</v>
      </c>
      <c r="B354" t="s">
        <v>642</v>
      </c>
      <c r="C354" t="s">
        <v>27</v>
      </c>
      <c r="D354" t="s">
        <v>1053</v>
      </c>
      <c r="E354" s="2">
        <v>19700000</v>
      </c>
      <c r="F354" s="3">
        <v>1287.5316</v>
      </c>
      <c r="G354" t="s">
        <v>152</v>
      </c>
      <c r="H354">
        <v>185</v>
      </c>
      <c r="I354">
        <v>32</v>
      </c>
      <c r="J354">
        <v>2010</v>
      </c>
      <c r="K354">
        <v>2</v>
      </c>
      <c r="L354" t="s">
        <v>643</v>
      </c>
    </row>
    <row r="355" spans="1:12" x14ac:dyDescent="0.25">
      <c r="A355">
        <v>355</v>
      </c>
      <c r="B355" t="s">
        <v>644</v>
      </c>
      <c r="C355" t="s">
        <v>219</v>
      </c>
      <c r="D355" t="s">
        <v>1071</v>
      </c>
      <c r="E355" s="2">
        <v>2900000</v>
      </c>
      <c r="F355" s="3">
        <v>1282.6274000000001</v>
      </c>
      <c r="G355" t="s">
        <v>51</v>
      </c>
      <c r="H355">
        <v>16</v>
      </c>
      <c r="I355">
        <v>2</v>
      </c>
      <c r="J355">
        <v>2015</v>
      </c>
      <c r="K355">
        <v>1</v>
      </c>
      <c r="L355" t="s">
        <v>645</v>
      </c>
    </row>
    <row r="356" spans="1:12" x14ac:dyDescent="0.25">
      <c r="A356">
        <v>356</v>
      </c>
      <c r="B356" t="s">
        <v>646</v>
      </c>
      <c r="C356" t="s">
        <v>38</v>
      </c>
      <c r="D356" t="s">
        <v>1013</v>
      </c>
      <c r="E356" s="2">
        <v>2300000</v>
      </c>
      <c r="F356" s="3">
        <v>1281.6939</v>
      </c>
      <c r="G356" t="s">
        <v>152</v>
      </c>
      <c r="H356">
        <v>8</v>
      </c>
      <c r="I356">
        <v>3</v>
      </c>
      <c r="J356">
        <v>2013</v>
      </c>
      <c r="K356">
        <v>1</v>
      </c>
      <c r="L356" t="s">
        <v>647</v>
      </c>
    </row>
    <row r="357" spans="1:12" x14ac:dyDescent="0.25">
      <c r="A357">
        <v>357</v>
      </c>
      <c r="B357" t="s">
        <v>648</v>
      </c>
      <c r="C357" t="s">
        <v>78</v>
      </c>
      <c r="D357" t="s">
        <v>1060</v>
      </c>
      <c r="E357" s="2">
        <v>8000000</v>
      </c>
      <c r="F357" s="3">
        <v>1279.3186000000001</v>
      </c>
      <c r="G357" t="s">
        <v>73</v>
      </c>
      <c r="H357">
        <v>100</v>
      </c>
      <c r="I357">
        <v>7</v>
      </c>
      <c r="J357">
        <v>2014</v>
      </c>
      <c r="K357">
        <v>2</v>
      </c>
      <c r="L357" t="s">
        <v>144</v>
      </c>
    </row>
    <row r="358" spans="1:12" x14ac:dyDescent="0.25">
      <c r="A358">
        <v>358</v>
      </c>
      <c r="B358" t="s">
        <v>649</v>
      </c>
      <c r="C358" t="s">
        <v>31</v>
      </c>
      <c r="D358" t="s">
        <v>1054</v>
      </c>
      <c r="E358" s="2">
        <v>8100000</v>
      </c>
      <c r="F358" s="3">
        <v>1278.5516</v>
      </c>
      <c r="G358" t="s">
        <v>152</v>
      </c>
      <c r="H358">
        <v>27</v>
      </c>
      <c r="I358">
        <v>3</v>
      </c>
      <c r="J358">
        <v>1999</v>
      </c>
      <c r="K358">
        <v>3</v>
      </c>
      <c r="L358" t="s">
        <v>447</v>
      </c>
    </row>
    <row r="359" spans="1:12" x14ac:dyDescent="0.25">
      <c r="A359">
        <v>359</v>
      </c>
      <c r="B359" t="s">
        <v>650</v>
      </c>
      <c r="C359" t="s">
        <v>38</v>
      </c>
      <c r="D359" t="s">
        <v>1013</v>
      </c>
      <c r="E359" s="2">
        <v>5900000</v>
      </c>
      <c r="F359" s="3">
        <v>1275.5934</v>
      </c>
      <c r="G359" t="s">
        <v>73</v>
      </c>
      <c r="H359">
        <v>80</v>
      </c>
      <c r="I359">
        <v>5</v>
      </c>
      <c r="J359">
        <v>2014</v>
      </c>
      <c r="K359">
        <v>1</v>
      </c>
      <c r="L359" t="s">
        <v>217</v>
      </c>
    </row>
    <row r="360" spans="1:12" x14ac:dyDescent="0.25">
      <c r="A360">
        <v>360</v>
      </c>
      <c r="B360" t="s">
        <v>651</v>
      </c>
      <c r="C360" t="s">
        <v>219</v>
      </c>
      <c r="D360" t="s">
        <v>1071</v>
      </c>
      <c r="E360" s="2">
        <v>2100000</v>
      </c>
      <c r="F360" s="3">
        <v>1270.6676</v>
      </c>
      <c r="G360" t="s">
        <v>73</v>
      </c>
      <c r="H360">
        <v>17</v>
      </c>
      <c r="I360">
        <v>2</v>
      </c>
      <c r="J360">
        <v>2013</v>
      </c>
      <c r="K360">
        <v>1</v>
      </c>
      <c r="L360" t="s">
        <v>652</v>
      </c>
    </row>
    <row r="361" spans="1:12" x14ac:dyDescent="0.25">
      <c r="A361">
        <v>361</v>
      </c>
      <c r="B361" t="s">
        <v>653</v>
      </c>
      <c r="C361" t="s">
        <v>350</v>
      </c>
      <c r="D361" t="s">
        <v>1076</v>
      </c>
      <c r="E361" s="2">
        <v>5900000</v>
      </c>
      <c r="F361" s="3">
        <v>1264.9067</v>
      </c>
      <c r="G361" t="s">
        <v>3</v>
      </c>
      <c r="H361">
        <v>3</v>
      </c>
      <c r="I361">
        <v>4</v>
      </c>
      <c r="J361">
        <v>2009</v>
      </c>
      <c r="K361">
        <v>1</v>
      </c>
      <c r="L361" t="s">
        <v>654</v>
      </c>
    </row>
    <row r="362" spans="1:12" x14ac:dyDescent="0.25">
      <c r="A362">
        <v>362</v>
      </c>
      <c r="B362" t="s">
        <v>655</v>
      </c>
      <c r="C362" t="s">
        <v>38</v>
      </c>
      <c r="D362" t="s">
        <v>1013</v>
      </c>
      <c r="E362" s="2">
        <v>8800000</v>
      </c>
      <c r="F362" s="3">
        <v>1255.0319</v>
      </c>
      <c r="G362" t="s">
        <v>16</v>
      </c>
      <c r="H362">
        <v>17</v>
      </c>
      <c r="I362">
        <v>3</v>
      </c>
      <c r="J362">
        <v>2014</v>
      </c>
      <c r="K362">
        <v>1</v>
      </c>
      <c r="L362" t="s">
        <v>656</v>
      </c>
    </row>
    <row r="363" spans="1:12" x14ac:dyDescent="0.25">
      <c r="A363">
        <v>363</v>
      </c>
      <c r="B363" t="s">
        <v>657</v>
      </c>
      <c r="C363" t="s">
        <v>31</v>
      </c>
      <c r="D363" t="s">
        <v>1054</v>
      </c>
      <c r="E363" s="2">
        <v>16000000</v>
      </c>
      <c r="F363" s="3">
        <v>1254.748</v>
      </c>
      <c r="G363" t="s">
        <v>108</v>
      </c>
      <c r="H363">
        <v>32</v>
      </c>
      <c r="I363">
        <v>3</v>
      </c>
      <c r="J363">
        <v>2014</v>
      </c>
      <c r="K363">
        <v>1</v>
      </c>
      <c r="L363" t="s">
        <v>658</v>
      </c>
    </row>
    <row r="364" spans="1:12" x14ac:dyDescent="0.25">
      <c r="A364">
        <v>364</v>
      </c>
      <c r="B364" t="s">
        <v>659</v>
      </c>
      <c r="C364" t="s">
        <v>72</v>
      </c>
      <c r="D364" t="s">
        <v>1059</v>
      </c>
      <c r="E364" s="2">
        <v>12000000</v>
      </c>
      <c r="F364" s="3">
        <v>1252.8198</v>
      </c>
      <c r="G364" t="s">
        <v>20</v>
      </c>
      <c r="H364">
        <v>29</v>
      </c>
      <c r="I364">
        <v>19</v>
      </c>
      <c r="J364">
        <v>2012</v>
      </c>
      <c r="K364">
        <v>3</v>
      </c>
      <c r="L364" t="s">
        <v>660</v>
      </c>
    </row>
    <row r="365" spans="1:12" x14ac:dyDescent="0.25">
      <c r="A365">
        <v>365</v>
      </c>
      <c r="B365" t="s">
        <v>661</v>
      </c>
      <c r="C365" t="s">
        <v>6</v>
      </c>
      <c r="D365" t="s">
        <v>1049</v>
      </c>
      <c r="E365" s="2">
        <v>15300000</v>
      </c>
      <c r="F365" s="3">
        <v>1248.1117999999999</v>
      </c>
      <c r="G365" t="s">
        <v>130</v>
      </c>
      <c r="H365">
        <v>22</v>
      </c>
      <c r="I365">
        <v>7</v>
      </c>
      <c r="J365">
        <v>2014</v>
      </c>
      <c r="K365">
        <v>1</v>
      </c>
      <c r="L365" t="s">
        <v>9</v>
      </c>
    </row>
    <row r="366" spans="1:12" x14ac:dyDescent="0.25">
      <c r="A366">
        <v>366</v>
      </c>
      <c r="B366" t="s">
        <v>662</v>
      </c>
      <c r="C366" t="s">
        <v>6</v>
      </c>
      <c r="D366" t="s">
        <v>1049</v>
      </c>
      <c r="E366" s="2">
        <v>28000000</v>
      </c>
      <c r="F366" s="3">
        <v>1247.5148999999999</v>
      </c>
      <c r="G366" t="s">
        <v>7</v>
      </c>
      <c r="H366">
        <v>36</v>
      </c>
      <c r="I366">
        <v>4</v>
      </c>
      <c r="J366">
        <v>2014</v>
      </c>
      <c r="K366">
        <v>1</v>
      </c>
      <c r="L366" t="s">
        <v>418</v>
      </c>
    </row>
    <row r="367" spans="1:12" x14ac:dyDescent="0.25">
      <c r="A367">
        <v>367</v>
      </c>
      <c r="B367" t="s">
        <v>663</v>
      </c>
      <c r="C367" t="s">
        <v>354</v>
      </c>
      <c r="D367" t="s">
        <v>1077</v>
      </c>
      <c r="E367" s="2">
        <v>2600000</v>
      </c>
      <c r="F367" s="3">
        <v>1240.6025</v>
      </c>
      <c r="G367" t="s">
        <v>108</v>
      </c>
      <c r="H367">
        <v>11</v>
      </c>
      <c r="I367">
        <v>2</v>
      </c>
      <c r="J367">
        <v>2013</v>
      </c>
      <c r="K367">
        <v>1</v>
      </c>
      <c r="L367" t="s">
        <v>664</v>
      </c>
    </row>
    <row r="368" spans="1:12" x14ac:dyDescent="0.25">
      <c r="A368">
        <v>368</v>
      </c>
      <c r="B368" t="s">
        <v>665</v>
      </c>
      <c r="C368" t="s">
        <v>31</v>
      </c>
      <c r="D368" t="s">
        <v>1054</v>
      </c>
      <c r="E368" s="2">
        <v>2600000</v>
      </c>
      <c r="F368" s="3">
        <v>1240.5595000000001</v>
      </c>
      <c r="G368" t="s">
        <v>134</v>
      </c>
      <c r="H368">
        <v>19</v>
      </c>
      <c r="I368">
        <v>3</v>
      </c>
      <c r="J368">
        <v>2002</v>
      </c>
      <c r="K368">
        <v>2</v>
      </c>
      <c r="L368" t="s">
        <v>177</v>
      </c>
    </row>
    <row r="369" spans="1:12" x14ac:dyDescent="0.25">
      <c r="A369">
        <v>369</v>
      </c>
      <c r="B369" t="s">
        <v>666</v>
      </c>
      <c r="C369" t="s">
        <v>46</v>
      </c>
      <c r="D369" t="s">
        <v>397</v>
      </c>
      <c r="E369" s="2">
        <v>3100000</v>
      </c>
      <c r="F369" s="3">
        <v>1240.3105</v>
      </c>
      <c r="G369" t="s">
        <v>73</v>
      </c>
      <c r="H369">
        <v>85</v>
      </c>
      <c r="I369">
        <v>20</v>
      </c>
      <c r="J369">
        <v>2013</v>
      </c>
      <c r="K369">
        <v>1</v>
      </c>
      <c r="L369" t="s">
        <v>47</v>
      </c>
    </row>
    <row r="370" spans="1:12" x14ac:dyDescent="0.25">
      <c r="A370">
        <v>370</v>
      </c>
      <c r="B370" t="s">
        <v>667</v>
      </c>
      <c r="C370" t="s">
        <v>11</v>
      </c>
      <c r="D370" t="s">
        <v>1050</v>
      </c>
      <c r="E370" s="2">
        <v>4700000</v>
      </c>
      <c r="F370" s="3">
        <v>1237.9323999999999</v>
      </c>
      <c r="G370" t="s">
        <v>134</v>
      </c>
      <c r="H370">
        <v>30</v>
      </c>
      <c r="I370">
        <v>3</v>
      </c>
      <c r="J370">
        <v>2014</v>
      </c>
      <c r="K370">
        <v>1</v>
      </c>
      <c r="L370" t="s">
        <v>116</v>
      </c>
    </row>
    <row r="371" spans="1:12" x14ac:dyDescent="0.25">
      <c r="A371">
        <v>371</v>
      </c>
      <c r="B371" t="s">
        <v>668</v>
      </c>
      <c r="C371" t="s">
        <v>515</v>
      </c>
      <c r="D371" t="s">
        <v>1080</v>
      </c>
      <c r="E371" s="2">
        <v>2700000</v>
      </c>
      <c r="F371" s="3">
        <v>1232.4509</v>
      </c>
      <c r="G371" t="s">
        <v>20</v>
      </c>
      <c r="H371">
        <v>6</v>
      </c>
      <c r="I371">
        <v>3</v>
      </c>
      <c r="J371">
        <v>2015</v>
      </c>
      <c r="K371">
        <v>1</v>
      </c>
      <c r="L371" t="s">
        <v>669</v>
      </c>
    </row>
    <row r="372" spans="1:12" x14ac:dyDescent="0.25">
      <c r="A372">
        <v>372</v>
      </c>
      <c r="B372" t="s">
        <v>670</v>
      </c>
      <c r="C372" t="s">
        <v>23</v>
      </c>
      <c r="D372" t="s">
        <v>321</v>
      </c>
      <c r="E372" s="2">
        <v>6400000</v>
      </c>
      <c r="F372" s="3">
        <v>1231.4356</v>
      </c>
      <c r="G372" t="s">
        <v>24</v>
      </c>
      <c r="H372">
        <v>10</v>
      </c>
      <c r="I372">
        <v>3</v>
      </c>
      <c r="J372">
        <v>1994</v>
      </c>
      <c r="K372">
        <v>1</v>
      </c>
      <c r="L372" t="s">
        <v>671</v>
      </c>
    </row>
    <row r="373" spans="1:12" x14ac:dyDescent="0.25">
      <c r="A373">
        <v>373</v>
      </c>
      <c r="B373" t="s">
        <v>672</v>
      </c>
      <c r="C373" t="s">
        <v>31</v>
      </c>
      <c r="D373" t="s">
        <v>1054</v>
      </c>
      <c r="E373" s="2">
        <v>21700000</v>
      </c>
      <c r="F373" s="3">
        <v>1228.9271000000001</v>
      </c>
      <c r="G373" t="s">
        <v>84</v>
      </c>
      <c r="H373">
        <v>134</v>
      </c>
      <c r="I373">
        <v>13</v>
      </c>
      <c r="J373">
        <v>2005</v>
      </c>
      <c r="K373">
        <v>2</v>
      </c>
      <c r="L373" t="s">
        <v>177</v>
      </c>
    </row>
    <row r="374" spans="1:12" x14ac:dyDescent="0.25">
      <c r="A374">
        <v>374</v>
      </c>
      <c r="B374" t="s">
        <v>673</v>
      </c>
      <c r="C374" t="s">
        <v>50</v>
      </c>
      <c r="D374" t="s">
        <v>52</v>
      </c>
      <c r="E374" s="2">
        <v>3400000</v>
      </c>
      <c r="F374" s="3">
        <v>1226.6247000000001</v>
      </c>
      <c r="G374" t="s">
        <v>134</v>
      </c>
      <c r="H374">
        <v>121</v>
      </c>
      <c r="I374">
        <v>16</v>
      </c>
      <c r="J374">
        <v>2014</v>
      </c>
      <c r="K374">
        <v>1</v>
      </c>
      <c r="L374" t="s">
        <v>52</v>
      </c>
    </row>
    <row r="375" spans="1:12" x14ac:dyDescent="0.25">
      <c r="A375">
        <v>375</v>
      </c>
      <c r="B375" t="s">
        <v>674</v>
      </c>
      <c r="C375" t="s">
        <v>219</v>
      </c>
      <c r="D375" t="s">
        <v>1071</v>
      </c>
      <c r="E375" s="2">
        <v>4000000</v>
      </c>
      <c r="F375" s="3">
        <v>1226.2361000000001</v>
      </c>
      <c r="G375" t="s">
        <v>24</v>
      </c>
      <c r="H375">
        <v>24</v>
      </c>
      <c r="I375">
        <v>12</v>
      </c>
      <c r="J375">
        <v>2011</v>
      </c>
      <c r="K375">
        <v>2</v>
      </c>
      <c r="L375" t="s">
        <v>220</v>
      </c>
    </row>
    <row r="376" spans="1:12" x14ac:dyDescent="0.25">
      <c r="A376">
        <v>376</v>
      </c>
      <c r="B376" t="s">
        <v>675</v>
      </c>
      <c r="C376" t="s">
        <v>23</v>
      </c>
      <c r="D376" t="s">
        <v>321</v>
      </c>
      <c r="E376" s="2">
        <v>137200000</v>
      </c>
      <c r="F376" s="3">
        <v>1225.5509</v>
      </c>
      <c r="G376" t="s">
        <v>16</v>
      </c>
      <c r="H376">
        <v>90</v>
      </c>
      <c r="I376">
        <v>8</v>
      </c>
      <c r="J376">
        <v>2013</v>
      </c>
      <c r="K376">
        <v>2</v>
      </c>
      <c r="L376" t="s">
        <v>676</v>
      </c>
    </row>
    <row r="377" spans="1:12" x14ac:dyDescent="0.25">
      <c r="A377">
        <v>377</v>
      </c>
      <c r="B377" t="s">
        <v>677</v>
      </c>
      <c r="C377" t="s">
        <v>2</v>
      </c>
      <c r="D377" t="s">
        <v>1048</v>
      </c>
      <c r="E377" s="2">
        <v>3800000</v>
      </c>
      <c r="F377" s="3">
        <v>1220.8083999999999</v>
      </c>
      <c r="G377" t="s">
        <v>20</v>
      </c>
      <c r="H377">
        <v>6</v>
      </c>
      <c r="I377">
        <v>1</v>
      </c>
      <c r="J377">
        <v>2014</v>
      </c>
      <c r="K377">
        <v>1</v>
      </c>
      <c r="L377" t="s">
        <v>678</v>
      </c>
    </row>
    <row r="378" spans="1:12" x14ac:dyDescent="0.25">
      <c r="A378">
        <v>378</v>
      </c>
      <c r="B378" t="s">
        <v>679</v>
      </c>
      <c r="C378" t="s">
        <v>113</v>
      </c>
      <c r="D378" t="s">
        <v>1065</v>
      </c>
      <c r="E378" s="2">
        <v>31400000</v>
      </c>
      <c r="F378" s="3">
        <v>1220.194</v>
      </c>
      <c r="G378" t="s">
        <v>134</v>
      </c>
      <c r="H378">
        <v>131</v>
      </c>
      <c r="I378">
        <v>12</v>
      </c>
      <c r="J378">
        <v>2008</v>
      </c>
      <c r="K378">
        <v>1</v>
      </c>
      <c r="L378" t="s">
        <v>307</v>
      </c>
    </row>
    <row r="379" spans="1:12" x14ac:dyDescent="0.25">
      <c r="A379">
        <v>379</v>
      </c>
      <c r="B379" t="s">
        <v>680</v>
      </c>
      <c r="C379" t="s">
        <v>203</v>
      </c>
      <c r="D379" t="s">
        <v>1070</v>
      </c>
      <c r="E379" s="2">
        <v>2000000</v>
      </c>
      <c r="F379" s="3">
        <v>1216.3501000000001</v>
      </c>
      <c r="G379" t="s">
        <v>73</v>
      </c>
      <c r="H379">
        <v>45</v>
      </c>
      <c r="I379">
        <v>12</v>
      </c>
      <c r="J379">
        <v>2012</v>
      </c>
      <c r="K379">
        <v>1</v>
      </c>
      <c r="L379" t="s">
        <v>681</v>
      </c>
    </row>
    <row r="380" spans="1:12" x14ac:dyDescent="0.25">
      <c r="A380">
        <v>380</v>
      </c>
      <c r="B380" t="s">
        <v>682</v>
      </c>
      <c r="C380" t="s">
        <v>38</v>
      </c>
      <c r="D380" t="s">
        <v>1013</v>
      </c>
      <c r="E380" s="2">
        <v>21600000</v>
      </c>
      <c r="F380" s="3">
        <v>1210.2204999999999</v>
      </c>
      <c r="G380" t="s">
        <v>73</v>
      </c>
      <c r="H380">
        <v>75</v>
      </c>
      <c r="I380">
        <v>12</v>
      </c>
      <c r="J380">
        <v>2012</v>
      </c>
      <c r="K380">
        <v>1</v>
      </c>
      <c r="L380" t="s">
        <v>63</v>
      </c>
    </row>
    <row r="381" spans="1:12" x14ac:dyDescent="0.25">
      <c r="A381">
        <v>381</v>
      </c>
      <c r="B381" t="s">
        <v>683</v>
      </c>
      <c r="C381" t="s">
        <v>78</v>
      </c>
      <c r="D381" t="s">
        <v>1060</v>
      </c>
      <c r="E381" s="2">
        <v>7000000</v>
      </c>
      <c r="F381" s="3">
        <v>1203.7642000000001</v>
      </c>
      <c r="G381" t="s">
        <v>24</v>
      </c>
      <c r="H381">
        <v>84</v>
      </c>
      <c r="I381">
        <v>14</v>
      </c>
      <c r="J381">
        <v>2015</v>
      </c>
      <c r="K381">
        <v>1</v>
      </c>
      <c r="L381" t="s">
        <v>684</v>
      </c>
    </row>
    <row r="382" spans="1:12" x14ac:dyDescent="0.25">
      <c r="A382">
        <v>382</v>
      </c>
      <c r="B382" t="s">
        <v>685</v>
      </c>
      <c r="C382" t="s">
        <v>50</v>
      </c>
      <c r="D382" t="s">
        <v>52</v>
      </c>
      <c r="E382" s="2">
        <v>30800000</v>
      </c>
      <c r="F382" s="3">
        <v>1202.6660999999999</v>
      </c>
      <c r="G382" t="s">
        <v>73</v>
      </c>
      <c r="H382">
        <v>41</v>
      </c>
      <c r="I382">
        <v>28</v>
      </c>
      <c r="J382">
        <v>2011</v>
      </c>
      <c r="K382">
        <v>2</v>
      </c>
      <c r="L382" t="s">
        <v>52</v>
      </c>
    </row>
    <row r="383" spans="1:12" x14ac:dyDescent="0.25">
      <c r="A383">
        <v>383</v>
      </c>
      <c r="B383" t="s">
        <v>686</v>
      </c>
      <c r="C383" t="s">
        <v>19</v>
      </c>
      <c r="D383" t="s">
        <v>1052</v>
      </c>
      <c r="E383" s="2">
        <v>255900000</v>
      </c>
      <c r="F383" s="3">
        <v>1200.9092000000001</v>
      </c>
      <c r="G383" t="s">
        <v>20</v>
      </c>
      <c r="H383">
        <v>56</v>
      </c>
      <c r="I383">
        <v>10</v>
      </c>
      <c r="J383">
        <v>2012</v>
      </c>
      <c r="K383">
        <v>2</v>
      </c>
      <c r="L383" t="s">
        <v>687</v>
      </c>
    </row>
    <row r="384" spans="1:12" x14ac:dyDescent="0.25">
      <c r="A384">
        <v>384</v>
      </c>
      <c r="B384" t="s">
        <v>688</v>
      </c>
      <c r="C384" t="s">
        <v>23</v>
      </c>
      <c r="D384" t="s">
        <v>321</v>
      </c>
      <c r="E384" s="2">
        <v>6200000</v>
      </c>
      <c r="F384" s="3">
        <v>1197.5854999999999</v>
      </c>
      <c r="G384" t="s">
        <v>3</v>
      </c>
      <c r="H384">
        <v>21</v>
      </c>
      <c r="I384">
        <v>2</v>
      </c>
      <c r="J384">
        <v>2014</v>
      </c>
      <c r="K384">
        <v>1</v>
      </c>
      <c r="L384" t="s">
        <v>25</v>
      </c>
    </row>
    <row r="385" spans="1:12" x14ac:dyDescent="0.25">
      <c r="A385">
        <v>385</v>
      </c>
      <c r="B385" t="s">
        <v>689</v>
      </c>
      <c r="C385" t="s">
        <v>396</v>
      </c>
      <c r="D385" t="s">
        <v>1078</v>
      </c>
      <c r="E385" s="2">
        <v>12800000</v>
      </c>
      <c r="F385" s="3">
        <v>1192.4063000000001</v>
      </c>
      <c r="G385" t="s">
        <v>16</v>
      </c>
      <c r="H385">
        <v>90</v>
      </c>
      <c r="I385">
        <v>19</v>
      </c>
      <c r="J385">
        <v>2014</v>
      </c>
      <c r="K385">
        <v>1</v>
      </c>
      <c r="L385" t="s">
        <v>397</v>
      </c>
    </row>
    <row r="386" spans="1:12" x14ac:dyDescent="0.25">
      <c r="A386">
        <v>386</v>
      </c>
      <c r="B386" t="s">
        <v>690</v>
      </c>
      <c r="C386" t="s">
        <v>31</v>
      </c>
      <c r="D386" t="s">
        <v>1054</v>
      </c>
      <c r="E386" s="2">
        <v>5100000</v>
      </c>
      <c r="F386" s="3">
        <v>1191.9137000000001</v>
      </c>
      <c r="G386" t="s">
        <v>134</v>
      </c>
      <c r="H386">
        <v>47</v>
      </c>
      <c r="I386">
        <v>6</v>
      </c>
      <c r="J386">
        <v>2014</v>
      </c>
      <c r="K386">
        <v>1</v>
      </c>
      <c r="L386" t="s">
        <v>691</v>
      </c>
    </row>
    <row r="387" spans="1:12" x14ac:dyDescent="0.25">
      <c r="A387">
        <v>387</v>
      </c>
      <c r="B387" t="s">
        <v>692</v>
      </c>
      <c r="C387" t="s">
        <v>38</v>
      </c>
      <c r="D387" t="s">
        <v>1013</v>
      </c>
      <c r="E387" s="2">
        <v>19500000</v>
      </c>
      <c r="F387" s="3">
        <v>1190.6532999999999</v>
      </c>
      <c r="G387" t="s">
        <v>3</v>
      </c>
      <c r="H387">
        <v>122</v>
      </c>
      <c r="I387">
        <v>16</v>
      </c>
      <c r="J387">
        <v>2014</v>
      </c>
      <c r="K387">
        <v>1</v>
      </c>
      <c r="L387" t="s">
        <v>39</v>
      </c>
    </row>
    <row r="388" spans="1:12" x14ac:dyDescent="0.25">
      <c r="A388">
        <v>388</v>
      </c>
      <c r="B388" t="s">
        <v>693</v>
      </c>
      <c r="C388" t="s">
        <v>19</v>
      </c>
      <c r="D388" t="s">
        <v>1052</v>
      </c>
      <c r="E388" s="2">
        <v>2500000</v>
      </c>
      <c r="F388" s="3">
        <v>1186.6111000000001</v>
      </c>
      <c r="G388" t="s">
        <v>3</v>
      </c>
      <c r="H388">
        <v>12</v>
      </c>
      <c r="I388">
        <v>2</v>
      </c>
      <c r="J388">
        <v>2014</v>
      </c>
      <c r="K388">
        <v>1</v>
      </c>
      <c r="L388" t="s">
        <v>694</v>
      </c>
    </row>
    <row r="389" spans="1:12" x14ac:dyDescent="0.25">
      <c r="A389">
        <v>389</v>
      </c>
      <c r="B389" t="s">
        <v>695</v>
      </c>
      <c r="C389" t="s">
        <v>56</v>
      </c>
      <c r="D389" t="s">
        <v>1057</v>
      </c>
      <c r="E389" s="2">
        <v>4800000</v>
      </c>
      <c r="F389" s="3">
        <v>1183.9145000000001</v>
      </c>
      <c r="G389" t="s">
        <v>124</v>
      </c>
      <c r="H389">
        <v>28</v>
      </c>
      <c r="I389">
        <v>16</v>
      </c>
      <c r="J389">
        <v>2013</v>
      </c>
      <c r="K389">
        <v>1</v>
      </c>
      <c r="L389" t="s">
        <v>57</v>
      </c>
    </row>
    <row r="390" spans="1:12" x14ac:dyDescent="0.25">
      <c r="A390">
        <v>390</v>
      </c>
      <c r="B390" t="s">
        <v>696</v>
      </c>
      <c r="C390" t="s">
        <v>31</v>
      </c>
      <c r="D390" t="s">
        <v>1054</v>
      </c>
      <c r="E390" s="2">
        <v>2900000</v>
      </c>
      <c r="F390" s="3">
        <v>1180.3137999999999</v>
      </c>
      <c r="G390" t="s">
        <v>119</v>
      </c>
      <c r="H390">
        <v>11</v>
      </c>
      <c r="I390">
        <v>2</v>
      </c>
      <c r="J390">
        <v>2013</v>
      </c>
      <c r="K390">
        <v>1</v>
      </c>
      <c r="L390" t="s">
        <v>376</v>
      </c>
    </row>
    <row r="391" spans="1:12" x14ac:dyDescent="0.25">
      <c r="A391">
        <v>391</v>
      </c>
      <c r="B391" t="s">
        <v>697</v>
      </c>
      <c r="C391" t="s">
        <v>78</v>
      </c>
      <c r="D391" t="s">
        <v>1060</v>
      </c>
      <c r="E391" s="2">
        <v>4600000</v>
      </c>
      <c r="F391" s="3">
        <v>1168.8844999999999</v>
      </c>
      <c r="G391" t="s">
        <v>20</v>
      </c>
      <c r="H391">
        <v>70</v>
      </c>
      <c r="I391">
        <v>5</v>
      </c>
      <c r="J391">
        <v>2014</v>
      </c>
      <c r="K391">
        <v>1</v>
      </c>
      <c r="L391" t="s">
        <v>698</v>
      </c>
    </row>
    <row r="392" spans="1:12" x14ac:dyDescent="0.25">
      <c r="A392">
        <v>392</v>
      </c>
      <c r="B392" t="s">
        <v>699</v>
      </c>
      <c r="C392" t="s">
        <v>6</v>
      </c>
      <c r="D392" t="s">
        <v>1049</v>
      </c>
      <c r="E392" s="2">
        <v>2800000</v>
      </c>
      <c r="F392" s="3">
        <v>1168.2828</v>
      </c>
      <c r="G392" t="s">
        <v>130</v>
      </c>
      <c r="H392">
        <v>12</v>
      </c>
      <c r="I392">
        <v>2</v>
      </c>
      <c r="J392">
        <v>2014</v>
      </c>
      <c r="K392">
        <v>1</v>
      </c>
      <c r="L392" t="s">
        <v>8</v>
      </c>
    </row>
    <row r="393" spans="1:12" x14ac:dyDescent="0.25">
      <c r="A393">
        <v>393</v>
      </c>
      <c r="B393" t="s">
        <v>700</v>
      </c>
      <c r="C393" t="s">
        <v>27</v>
      </c>
      <c r="D393" t="s">
        <v>1053</v>
      </c>
      <c r="E393" s="2">
        <v>4700000</v>
      </c>
      <c r="F393" s="3">
        <v>1165.5447999999999</v>
      </c>
      <c r="G393" t="s">
        <v>134</v>
      </c>
      <c r="H393">
        <v>115</v>
      </c>
      <c r="I393">
        <v>15</v>
      </c>
      <c r="J393">
        <v>2012</v>
      </c>
      <c r="K393">
        <v>2</v>
      </c>
      <c r="L393" t="s">
        <v>701</v>
      </c>
    </row>
    <row r="394" spans="1:12" x14ac:dyDescent="0.25">
      <c r="A394">
        <v>394</v>
      </c>
      <c r="B394" t="s">
        <v>702</v>
      </c>
      <c r="C394" t="s">
        <v>41</v>
      </c>
      <c r="D394" t="s">
        <v>1056</v>
      </c>
      <c r="E394" s="2">
        <v>2000000</v>
      </c>
      <c r="F394" s="3">
        <v>1163.9585</v>
      </c>
      <c r="G394" t="s">
        <v>73</v>
      </c>
      <c r="H394">
        <v>24</v>
      </c>
      <c r="I394">
        <v>2</v>
      </c>
      <c r="J394">
        <v>2014</v>
      </c>
      <c r="K394">
        <v>1</v>
      </c>
      <c r="L394" t="s">
        <v>165</v>
      </c>
    </row>
    <row r="395" spans="1:12" x14ac:dyDescent="0.25">
      <c r="A395">
        <v>395</v>
      </c>
      <c r="B395" t="s">
        <v>703</v>
      </c>
      <c r="C395" t="s">
        <v>38</v>
      </c>
      <c r="D395" t="s">
        <v>1013</v>
      </c>
      <c r="E395" s="2">
        <v>2900000</v>
      </c>
      <c r="F395" s="3">
        <v>1156.826</v>
      </c>
      <c r="G395" t="s">
        <v>73</v>
      </c>
      <c r="H395">
        <v>52</v>
      </c>
      <c r="I395">
        <v>10</v>
      </c>
      <c r="J395">
        <v>2012</v>
      </c>
      <c r="K395">
        <v>1</v>
      </c>
      <c r="L395" t="s">
        <v>217</v>
      </c>
    </row>
    <row r="396" spans="1:12" x14ac:dyDescent="0.25">
      <c r="A396">
        <v>396</v>
      </c>
      <c r="B396" t="s">
        <v>704</v>
      </c>
      <c r="C396" t="s">
        <v>38</v>
      </c>
      <c r="D396" t="s">
        <v>1013</v>
      </c>
      <c r="E396" s="2">
        <v>10100000</v>
      </c>
      <c r="F396" s="3">
        <v>1152.1347000000001</v>
      </c>
      <c r="G396" t="s">
        <v>87</v>
      </c>
      <c r="H396">
        <v>30</v>
      </c>
      <c r="I396">
        <v>12</v>
      </c>
      <c r="J396">
        <v>2013</v>
      </c>
      <c r="K396">
        <v>2</v>
      </c>
      <c r="L396" t="s">
        <v>705</v>
      </c>
    </row>
    <row r="397" spans="1:12" x14ac:dyDescent="0.25">
      <c r="A397">
        <v>397</v>
      </c>
      <c r="B397" t="s">
        <v>706</v>
      </c>
      <c r="C397" t="s">
        <v>19</v>
      </c>
      <c r="D397" t="s">
        <v>1052</v>
      </c>
      <c r="E397" s="2">
        <v>6900000</v>
      </c>
      <c r="F397" s="3">
        <v>1147.2141999999999</v>
      </c>
      <c r="G397" t="s">
        <v>24</v>
      </c>
      <c r="H397">
        <v>3</v>
      </c>
      <c r="I397">
        <v>2</v>
      </c>
      <c r="J397">
        <v>2013</v>
      </c>
      <c r="K397">
        <v>1</v>
      </c>
      <c r="L397" t="s">
        <v>21</v>
      </c>
    </row>
    <row r="398" spans="1:12" x14ac:dyDescent="0.25">
      <c r="A398">
        <v>398</v>
      </c>
      <c r="B398" t="s">
        <v>707</v>
      </c>
      <c r="C398" t="s">
        <v>312</v>
      </c>
      <c r="D398" t="s">
        <v>1073</v>
      </c>
      <c r="E398" s="2">
        <v>3000000</v>
      </c>
      <c r="F398" s="3">
        <v>1146.9909</v>
      </c>
      <c r="G398" t="s">
        <v>16</v>
      </c>
      <c r="H398">
        <v>25</v>
      </c>
      <c r="I398">
        <v>4</v>
      </c>
      <c r="J398">
        <v>2012</v>
      </c>
      <c r="K398">
        <v>1</v>
      </c>
      <c r="L398" t="s">
        <v>313</v>
      </c>
    </row>
    <row r="399" spans="1:12" x14ac:dyDescent="0.25">
      <c r="A399">
        <v>399</v>
      </c>
      <c r="B399" t="s">
        <v>708</v>
      </c>
      <c r="C399" t="s">
        <v>413</v>
      </c>
      <c r="D399" t="s">
        <v>1079</v>
      </c>
      <c r="E399" s="2">
        <v>2800000</v>
      </c>
      <c r="F399" s="3">
        <v>1144.3394000000001</v>
      </c>
      <c r="G399" t="s">
        <v>73</v>
      </c>
      <c r="H399">
        <v>7</v>
      </c>
      <c r="I399">
        <v>2</v>
      </c>
      <c r="J399">
        <v>2012</v>
      </c>
      <c r="K399">
        <v>1</v>
      </c>
      <c r="L399" t="s">
        <v>709</v>
      </c>
    </row>
    <row r="400" spans="1:12" x14ac:dyDescent="0.25">
      <c r="A400">
        <v>400</v>
      </c>
      <c r="B400" t="s">
        <v>710</v>
      </c>
      <c r="C400" t="s">
        <v>219</v>
      </c>
      <c r="D400" t="s">
        <v>1071</v>
      </c>
      <c r="E400" s="2">
        <v>5400000</v>
      </c>
      <c r="F400" s="3">
        <v>1141.9407000000001</v>
      </c>
      <c r="G400" t="s">
        <v>20</v>
      </c>
      <c r="H400">
        <v>5</v>
      </c>
      <c r="I400">
        <v>1</v>
      </c>
      <c r="J400">
        <v>2014</v>
      </c>
      <c r="K400">
        <v>1</v>
      </c>
      <c r="L400" t="s">
        <v>220</v>
      </c>
    </row>
    <row r="401" spans="1:12" x14ac:dyDescent="0.25">
      <c r="A401">
        <v>401</v>
      </c>
      <c r="B401" t="s">
        <v>711</v>
      </c>
      <c r="C401" t="s">
        <v>712</v>
      </c>
      <c r="D401" t="s">
        <v>1082</v>
      </c>
      <c r="E401" s="2">
        <v>15400000</v>
      </c>
      <c r="F401" s="3">
        <v>1141.8701000000001</v>
      </c>
      <c r="G401" t="s">
        <v>51</v>
      </c>
      <c r="H401">
        <v>42</v>
      </c>
      <c r="I401">
        <v>6</v>
      </c>
      <c r="J401">
        <v>2014</v>
      </c>
      <c r="K401">
        <v>1</v>
      </c>
      <c r="L401" t="s">
        <v>192</v>
      </c>
    </row>
    <row r="402" spans="1:12" x14ac:dyDescent="0.25">
      <c r="A402">
        <v>402</v>
      </c>
      <c r="B402" t="s">
        <v>713</v>
      </c>
      <c r="C402" t="s">
        <v>23</v>
      </c>
      <c r="D402" t="s">
        <v>321</v>
      </c>
      <c r="E402" s="2">
        <v>9500000</v>
      </c>
      <c r="F402" s="3">
        <v>1137.2337</v>
      </c>
      <c r="G402" t="s">
        <v>84</v>
      </c>
      <c r="H402">
        <v>52</v>
      </c>
      <c r="I402">
        <v>8</v>
      </c>
      <c r="J402">
        <v>2011</v>
      </c>
      <c r="K402">
        <v>2</v>
      </c>
      <c r="L402" t="s">
        <v>25</v>
      </c>
    </row>
    <row r="403" spans="1:12" x14ac:dyDescent="0.25">
      <c r="A403">
        <v>403</v>
      </c>
      <c r="B403" t="s">
        <v>714</v>
      </c>
      <c r="C403" t="s">
        <v>38</v>
      </c>
      <c r="D403" t="s">
        <v>1013</v>
      </c>
      <c r="E403" s="2">
        <v>4099999.9999999995</v>
      </c>
      <c r="F403" s="3">
        <v>1135.5552</v>
      </c>
      <c r="G403" t="s">
        <v>152</v>
      </c>
      <c r="H403">
        <v>4</v>
      </c>
      <c r="I403">
        <v>1</v>
      </c>
      <c r="J403">
        <v>2012</v>
      </c>
      <c r="K403">
        <v>1</v>
      </c>
      <c r="L403" t="s">
        <v>76</v>
      </c>
    </row>
    <row r="404" spans="1:12" x14ac:dyDescent="0.25">
      <c r="A404">
        <v>404</v>
      </c>
      <c r="B404" t="s">
        <v>715</v>
      </c>
      <c r="C404" t="s">
        <v>78</v>
      </c>
      <c r="D404" t="s">
        <v>1060</v>
      </c>
      <c r="E404" s="2">
        <v>211200000</v>
      </c>
      <c r="F404" s="3">
        <v>1133.4248</v>
      </c>
      <c r="G404" t="s">
        <v>3</v>
      </c>
      <c r="H404">
        <v>118</v>
      </c>
      <c r="I404">
        <v>19</v>
      </c>
      <c r="J404">
        <v>2013</v>
      </c>
      <c r="K404">
        <v>1</v>
      </c>
      <c r="L404" t="s">
        <v>144</v>
      </c>
    </row>
    <row r="405" spans="1:12" x14ac:dyDescent="0.25">
      <c r="A405">
        <v>405</v>
      </c>
      <c r="B405" t="s">
        <v>716</v>
      </c>
      <c r="C405" t="s">
        <v>11</v>
      </c>
      <c r="D405" t="s">
        <v>1050</v>
      </c>
      <c r="E405" s="2">
        <v>24000000</v>
      </c>
      <c r="F405" s="3">
        <v>1130.9366</v>
      </c>
      <c r="G405" t="s">
        <v>152</v>
      </c>
      <c r="H405">
        <v>50</v>
      </c>
      <c r="I405">
        <v>12</v>
      </c>
      <c r="J405">
        <v>2005</v>
      </c>
      <c r="K405">
        <v>1</v>
      </c>
      <c r="L405" t="s">
        <v>294</v>
      </c>
    </row>
    <row r="406" spans="1:12" x14ac:dyDescent="0.25">
      <c r="A406">
        <v>406</v>
      </c>
      <c r="B406" t="s">
        <v>717</v>
      </c>
      <c r="C406" t="s">
        <v>11</v>
      </c>
      <c r="D406" t="s">
        <v>1050</v>
      </c>
      <c r="E406" s="2">
        <v>32700000.000000004</v>
      </c>
      <c r="F406" s="3">
        <v>1127.9387999999999</v>
      </c>
      <c r="G406" t="s">
        <v>69</v>
      </c>
      <c r="H406">
        <v>37</v>
      </c>
      <c r="I406">
        <v>10</v>
      </c>
      <c r="J406">
        <v>2012</v>
      </c>
      <c r="K406">
        <v>3</v>
      </c>
      <c r="L406" t="s">
        <v>718</v>
      </c>
    </row>
    <row r="407" spans="1:12" x14ac:dyDescent="0.25">
      <c r="A407">
        <v>407</v>
      </c>
      <c r="B407" t="s">
        <v>719</v>
      </c>
      <c r="C407" t="s">
        <v>38</v>
      </c>
      <c r="D407" t="s">
        <v>1013</v>
      </c>
      <c r="E407" s="2">
        <v>3600000</v>
      </c>
      <c r="F407" s="3">
        <v>1120.9253000000001</v>
      </c>
      <c r="G407" t="s">
        <v>73</v>
      </c>
      <c r="H407">
        <v>32</v>
      </c>
      <c r="I407">
        <v>6</v>
      </c>
      <c r="J407">
        <v>2014</v>
      </c>
      <c r="K407">
        <v>1</v>
      </c>
      <c r="L407" t="s">
        <v>76</v>
      </c>
    </row>
    <row r="408" spans="1:12" x14ac:dyDescent="0.25">
      <c r="A408">
        <v>408</v>
      </c>
      <c r="B408" t="s">
        <v>720</v>
      </c>
      <c r="C408" t="s">
        <v>219</v>
      </c>
      <c r="D408" t="s">
        <v>1071</v>
      </c>
      <c r="E408" s="2">
        <v>21500000</v>
      </c>
      <c r="F408" s="3">
        <v>1115.2385999999999</v>
      </c>
      <c r="G408" t="s">
        <v>73</v>
      </c>
      <c r="H408">
        <v>255</v>
      </c>
      <c r="I408">
        <v>55</v>
      </c>
      <c r="J408">
        <v>2012</v>
      </c>
      <c r="K408">
        <v>1</v>
      </c>
      <c r="L408" t="s">
        <v>220</v>
      </c>
    </row>
    <row r="409" spans="1:12" x14ac:dyDescent="0.25">
      <c r="A409">
        <v>409</v>
      </c>
      <c r="B409" t="s">
        <v>721</v>
      </c>
      <c r="C409" t="s">
        <v>23</v>
      </c>
      <c r="D409" t="s">
        <v>321</v>
      </c>
      <c r="E409" s="2">
        <v>5600000</v>
      </c>
      <c r="F409" s="3">
        <v>1113.4907000000001</v>
      </c>
      <c r="G409" t="s">
        <v>139</v>
      </c>
      <c r="H409">
        <v>10</v>
      </c>
      <c r="I409">
        <v>2</v>
      </c>
      <c r="J409">
        <v>2008</v>
      </c>
      <c r="K409">
        <v>1</v>
      </c>
      <c r="L409" t="s">
        <v>722</v>
      </c>
    </row>
    <row r="410" spans="1:12" x14ac:dyDescent="0.25">
      <c r="A410">
        <v>410</v>
      </c>
      <c r="B410" t="s">
        <v>723</v>
      </c>
      <c r="C410" t="s">
        <v>113</v>
      </c>
      <c r="D410" t="s">
        <v>1065</v>
      </c>
      <c r="E410" s="2">
        <v>11600000</v>
      </c>
      <c r="F410" s="3">
        <v>1111.7853</v>
      </c>
      <c r="G410" t="s">
        <v>24</v>
      </c>
      <c r="H410">
        <v>55</v>
      </c>
      <c r="I410">
        <v>5</v>
      </c>
      <c r="J410">
        <v>2012</v>
      </c>
      <c r="K410">
        <v>2</v>
      </c>
      <c r="L410" t="s">
        <v>385</v>
      </c>
    </row>
    <row r="411" spans="1:12" x14ac:dyDescent="0.25">
      <c r="A411">
        <v>411</v>
      </c>
      <c r="B411" t="s">
        <v>724</v>
      </c>
      <c r="C411" t="s">
        <v>23</v>
      </c>
      <c r="D411" t="s">
        <v>321</v>
      </c>
      <c r="E411" s="2">
        <v>8800000</v>
      </c>
      <c r="F411" s="3">
        <v>1110.7164</v>
      </c>
      <c r="G411" t="s">
        <v>134</v>
      </c>
      <c r="H411">
        <v>7</v>
      </c>
      <c r="I411">
        <v>6</v>
      </c>
      <c r="J411">
        <v>2014</v>
      </c>
      <c r="K411">
        <v>1</v>
      </c>
      <c r="L411" t="s">
        <v>94</v>
      </c>
    </row>
    <row r="412" spans="1:12" x14ac:dyDescent="0.25">
      <c r="A412">
        <v>412</v>
      </c>
      <c r="B412" t="s">
        <v>725</v>
      </c>
      <c r="C412" t="s">
        <v>38</v>
      </c>
      <c r="D412" t="s">
        <v>1013</v>
      </c>
      <c r="E412" s="2">
        <v>7100000</v>
      </c>
      <c r="F412" s="3">
        <v>1107.6733999999999</v>
      </c>
      <c r="G412" t="s">
        <v>3</v>
      </c>
      <c r="H412">
        <v>7</v>
      </c>
      <c r="I412">
        <v>1</v>
      </c>
      <c r="J412">
        <v>2013</v>
      </c>
      <c r="K412">
        <v>1</v>
      </c>
      <c r="L412" t="s">
        <v>726</v>
      </c>
    </row>
    <row r="413" spans="1:12" x14ac:dyDescent="0.25">
      <c r="A413">
        <v>413</v>
      </c>
      <c r="B413" t="s">
        <v>727</v>
      </c>
      <c r="C413" t="s">
        <v>11</v>
      </c>
      <c r="D413" t="s">
        <v>1050</v>
      </c>
      <c r="E413" s="2">
        <v>368600000</v>
      </c>
      <c r="F413" s="3">
        <v>1107.0863999999999</v>
      </c>
      <c r="G413" t="s">
        <v>7</v>
      </c>
      <c r="H413">
        <v>614</v>
      </c>
      <c r="I413">
        <v>51</v>
      </c>
      <c r="J413">
        <v>2014</v>
      </c>
      <c r="K413">
        <v>1</v>
      </c>
      <c r="L413" t="s">
        <v>13</v>
      </c>
    </row>
    <row r="414" spans="1:12" x14ac:dyDescent="0.25">
      <c r="A414">
        <v>414</v>
      </c>
      <c r="B414" t="s">
        <v>728</v>
      </c>
      <c r="C414" t="s">
        <v>38</v>
      </c>
      <c r="D414" t="s">
        <v>1013</v>
      </c>
      <c r="E414" s="2">
        <v>5500000</v>
      </c>
      <c r="F414" s="3">
        <v>1106.5666000000001</v>
      </c>
      <c r="G414" t="s">
        <v>7</v>
      </c>
      <c r="H414">
        <v>5</v>
      </c>
      <c r="I414">
        <v>4</v>
      </c>
      <c r="J414">
        <v>2012</v>
      </c>
      <c r="K414">
        <v>1</v>
      </c>
      <c r="L414" t="s">
        <v>729</v>
      </c>
    </row>
    <row r="415" spans="1:12" x14ac:dyDescent="0.25">
      <c r="A415">
        <v>415</v>
      </c>
      <c r="B415" t="s">
        <v>730</v>
      </c>
      <c r="C415" t="s">
        <v>396</v>
      </c>
      <c r="D415" t="s">
        <v>1078</v>
      </c>
      <c r="E415" s="2">
        <v>2800000</v>
      </c>
      <c r="F415" s="3">
        <v>1103.3244</v>
      </c>
      <c r="G415" t="s">
        <v>32</v>
      </c>
      <c r="H415">
        <v>23</v>
      </c>
      <c r="I415">
        <v>4</v>
      </c>
      <c r="J415">
        <v>2015</v>
      </c>
      <c r="K415">
        <v>1</v>
      </c>
      <c r="L415" t="s">
        <v>397</v>
      </c>
    </row>
    <row r="416" spans="1:12" x14ac:dyDescent="0.25">
      <c r="A416">
        <v>416</v>
      </c>
      <c r="B416" t="s">
        <v>731</v>
      </c>
      <c r="C416" t="s">
        <v>38</v>
      </c>
      <c r="D416" t="s">
        <v>1013</v>
      </c>
      <c r="E416" s="2">
        <v>14000000</v>
      </c>
      <c r="F416" s="3">
        <v>1103.0117</v>
      </c>
      <c r="G416" t="s">
        <v>3</v>
      </c>
      <c r="H416">
        <v>80</v>
      </c>
      <c r="I416">
        <v>12</v>
      </c>
      <c r="J416">
        <v>2008</v>
      </c>
      <c r="K416">
        <v>1</v>
      </c>
      <c r="L416" t="s">
        <v>732</v>
      </c>
    </row>
    <row r="417" spans="1:12" x14ac:dyDescent="0.25">
      <c r="A417">
        <v>417</v>
      </c>
      <c r="B417" t="s">
        <v>733</v>
      </c>
      <c r="C417" t="s">
        <v>38</v>
      </c>
      <c r="D417" t="s">
        <v>1013</v>
      </c>
      <c r="E417" s="2">
        <v>8800000</v>
      </c>
      <c r="F417" s="3">
        <v>1097.3859</v>
      </c>
      <c r="G417" t="s">
        <v>3</v>
      </c>
      <c r="H417">
        <v>113</v>
      </c>
      <c r="I417">
        <v>23</v>
      </c>
      <c r="J417">
        <v>2010</v>
      </c>
      <c r="K417">
        <v>2</v>
      </c>
      <c r="L417" t="s">
        <v>63</v>
      </c>
    </row>
    <row r="418" spans="1:12" x14ac:dyDescent="0.25">
      <c r="A418">
        <v>418</v>
      </c>
      <c r="B418" t="s">
        <v>734</v>
      </c>
      <c r="C418" t="s">
        <v>107</v>
      </c>
      <c r="D418" t="s">
        <v>1064</v>
      </c>
      <c r="E418" s="2">
        <v>15800000</v>
      </c>
      <c r="F418" s="3">
        <v>1095.0864999999999</v>
      </c>
      <c r="G418" t="s">
        <v>108</v>
      </c>
      <c r="H418">
        <v>51</v>
      </c>
      <c r="I418">
        <v>5</v>
      </c>
      <c r="J418">
        <v>2014</v>
      </c>
      <c r="K418">
        <v>1</v>
      </c>
      <c r="L418" t="s">
        <v>735</v>
      </c>
    </row>
    <row r="419" spans="1:12" x14ac:dyDescent="0.25">
      <c r="A419">
        <v>419</v>
      </c>
      <c r="B419" t="s">
        <v>736</v>
      </c>
      <c r="C419" t="s">
        <v>38</v>
      </c>
      <c r="D419" t="s">
        <v>1013</v>
      </c>
      <c r="E419" s="2">
        <v>35900000</v>
      </c>
      <c r="F419" s="3">
        <v>1093.3815</v>
      </c>
      <c r="G419" t="s">
        <v>3</v>
      </c>
      <c r="H419">
        <v>25</v>
      </c>
      <c r="I419">
        <v>8</v>
      </c>
      <c r="J419">
        <v>2014</v>
      </c>
      <c r="K419">
        <v>2</v>
      </c>
      <c r="L419" t="s">
        <v>63</v>
      </c>
    </row>
    <row r="420" spans="1:12" x14ac:dyDescent="0.25">
      <c r="A420">
        <v>420</v>
      </c>
      <c r="B420" t="s">
        <v>737</v>
      </c>
      <c r="C420" t="s">
        <v>155</v>
      </c>
      <c r="D420" t="s">
        <v>1068</v>
      </c>
      <c r="E420" s="2">
        <v>7000000</v>
      </c>
      <c r="F420" s="3">
        <v>1093.3466000000001</v>
      </c>
      <c r="G420" t="s">
        <v>152</v>
      </c>
      <c r="H420">
        <v>65</v>
      </c>
      <c r="I420">
        <v>10</v>
      </c>
      <c r="J420">
        <v>2012</v>
      </c>
      <c r="K420">
        <v>1</v>
      </c>
      <c r="L420" t="s">
        <v>156</v>
      </c>
    </row>
    <row r="421" spans="1:12" x14ac:dyDescent="0.25">
      <c r="A421">
        <v>421</v>
      </c>
      <c r="B421" t="s">
        <v>738</v>
      </c>
      <c r="C421" t="s">
        <v>50</v>
      </c>
      <c r="D421" t="s">
        <v>52</v>
      </c>
      <c r="E421" s="2">
        <v>2800000</v>
      </c>
      <c r="F421" s="3">
        <v>1093.325</v>
      </c>
      <c r="G421" t="s">
        <v>130</v>
      </c>
      <c r="H421">
        <v>35</v>
      </c>
      <c r="I421">
        <v>3</v>
      </c>
      <c r="J421">
        <v>2012</v>
      </c>
      <c r="K421">
        <v>2</v>
      </c>
      <c r="L421" t="s">
        <v>361</v>
      </c>
    </row>
    <row r="422" spans="1:12" x14ac:dyDescent="0.25">
      <c r="A422">
        <v>422</v>
      </c>
      <c r="B422" t="s">
        <v>739</v>
      </c>
      <c r="C422" t="s">
        <v>712</v>
      </c>
      <c r="D422" t="s">
        <v>1082</v>
      </c>
      <c r="E422" s="2">
        <v>2000000</v>
      </c>
      <c r="F422" s="3">
        <v>1091.1066000000001</v>
      </c>
      <c r="G422" t="s">
        <v>134</v>
      </c>
      <c r="H422">
        <v>25</v>
      </c>
      <c r="I422">
        <v>2</v>
      </c>
      <c r="J422">
        <v>2014</v>
      </c>
      <c r="K422">
        <v>1</v>
      </c>
      <c r="L422" t="s">
        <v>192</v>
      </c>
    </row>
    <row r="423" spans="1:12" x14ac:dyDescent="0.25">
      <c r="A423">
        <v>423</v>
      </c>
      <c r="B423" t="s">
        <v>740</v>
      </c>
      <c r="C423" t="s">
        <v>23</v>
      </c>
      <c r="D423" t="s">
        <v>321</v>
      </c>
      <c r="E423" s="2">
        <v>6900000</v>
      </c>
      <c r="F423" s="3">
        <v>1086.4820999999999</v>
      </c>
      <c r="G423" t="s">
        <v>7</v>
      </c>
      <c r="H423">
        <v>8</v>
      </c>
      <c r="I423">
        <v>3</v>
      </c>
      <c r="J423">
        <v>2014</v>
      </c>
      <c r="K423">
        <v>1</v>
      </c>
      <c r="L423" t="s">
        <v>94</v>
      </c>
    </row>
    <row r="424" spans="1:12" x14ac:dyDescent="0.25">
      <c r="A424">
        <v>424</v>
      </c>
      <c r="B424" t="s">
        <v>741</v>
      </c>
      <c r="C424" t="s">
        <v>31</v>
      </c>
      <c r="D424" t="s">
        <v>1054</v>
      </c>
      <c r="E424" s="2">
        <v>9800000</v>
      </c>
      <c r="F424" s="3">
        <v>1083.1819</v>
      </c>
      <c r="G424" t="s">
        <v>84</v>
      </c>
      <c r="H424">
        <v>103</v>
      </c>
      <c r="I424">
        <v>35</v>
      </c>
      <c r="J424">
        <v>2005</v>
      </c>
      <c r="K424">
        <v>1</v>
      </c>
      <c r="L424" t="s">
        <v>742</v>
      </c>
    </row>
    <row r="425" spans="1:12" x14ac:dyDescent="0.25">
      <c r="A425">
        <v>425</v>
      </c>
      <c r="B425" t="s">
        <v>743</v>
      </c>
      <c r="C425" t="s">
        <v>38</v>
      </c>
      <c r="D425" t="s">
        <v>1013</v>
      </c>
      <c r="E425" s="2">
        <v>6500000</v>
      </c>
      <c r="F425" s="3">
        <v>1074.5554</v>
      </c>
      <c r="G425" t="s">
        <v>3</v>
      </c>
      <c r="H425">
        <v>38</v>
      </c>
      <c r="I425">
        <v>3</v>
      </c>
      <c r="J425">
        <v>2012</v>
      </c>
      <c r="K425">
        <v>2</v>
      </c>
      <c r="L425" t="s">
        <v>246</v>
      </c>
    </row>
    <row r="426" spans="1:12" x14ac:dyDescent="0.25">
      <c r="A426">
        <v>426</v>
      </c>
      <c r="B426" t="s">
        <v>744</v>
      </c>
      <c r="C426" t="s">
        <v>104</v>
      </c>
      <c r="D426" t="s">
        <v>1063</v>
      </c>
      <c r="E426" s="2">
        <v>5400000</v>
      </c>
      <c r="F426" s="3">
        <v>1073.5922</v>
      </c>
      <c r="G426" t="s">
        <v>97</v>
      </c>
      <c r="H426">
        <v>24</v>
      </c>
      <c r="I426">
        <v>4</v>
      </c>
      <c r="J426">
        <v>2011</v>
      </c>
      <c r="K426">
        <v>1</v>
      </c>
      <c r="L426" t="s">
        <v>745</v>
      </c>
    </row>
    <row r="427" spans="1:12" x14ac:dyDescent="0.25">
      <c r="A427">
        <v>427</v>
      </c>
      <c r="B427" t="s">
        <v>746</v>
      </c>
      <c r="C427" t="s">
        <v>11</v>
      </c>
      <c r="D427" t="s">
        <v>1050</v>
      </c>
      <c r="E427" s="2">
        <v>374200000</v>
      </c>
      <c r="F427" s="3">
        <v>1064.5360000000001</v>
      </c>
      <c r="G427" t="s">
        <v>24</v>
      </c>
      <c r="H427">
        <v>4572</v>
      </c>
      <c r="I427">
        <v>398</v>
      </c>
      <c r="J427">
        <v>2003</v>
      </c>
      <c r="K427">
        <v>2</v>
      </c>
      <c r="L427" t="s">
        <v>13</v>
      </c>
    </row>
    <row r="428" spans="1:12" x14ac:dyDescent="0.25">
      <c r="A428">
        <v>428</v>
      </c>
      <c r="B428" t="s">
        <v>747</v>
      </c>
      <c r="C428" t="s">
        <v>11</v>
      </c>
      <c r="D428" t="s">
        <v>1050</v>
      </c>
      <c r="E428" s="2">
        <v>5900000</v>
      </c>
      <c r="F428" s="3">
        <v>1056.2826</v>
      </c>
      <c r="G428" t="s">
        <v>20</v>
      </c>
      <c r="H428">
        <v>24</v>
      </c>
      <c r="I428">
        <v>5</v>
      </c>
      <c r="J428">
        <v>2013</v>
      </c>
      <c r="K428">
        <v>2</v>
      </c>
      <c r="L428" t="s">
        <v>748</v>
      </c>
    </row>
    <row r="429" spans="1:12" x14ac:dyDescent="0.25">
      <c r="A429">
        <v>429</v>
      </c>
      <c r="B429" t="s">
        <v>749</v>
      </c>
      <c r="C429" t="s">
        <v>396</v>
      </c>
      <c r="D429" t="s">
        <v>1078</v>
      </c>
      <c r="E429" s="2">
        <v>5200000</v>
      </c>
      <c r="F429" s="3">
        <v>1052.2936999999999</v>
      </c>
      <c r="G429" t="s">
        <v>119</v>
      </c>
      <c r="H429">
        <v>30</v>
      </c>
      <c r="I429">
        <v>15</v>
      </c>
      <c r="J429">
        <v>2013</v>
      </c>
      <c r="K429">
        <v>1</v>
      </c>
      <c r="L429" t="s">
        <v>397</v>
      </c>
    </row>
    <row r="430" spans="1:12" x14ac:dyDescent="0.25">
      <c r="A430">
        <v>430</v>
      </c>
      <c r="B430" t="s">
        <v>750</v>
      </c>
      <c r="C430" t="s">
        <v>41</v>
      </c>
      <c r="D430" t="s">
        <v>1056</v>
      </c>
      <c r="E430" s="2">
        <v>4300000</v>
      </c>
      <c r="F430" s="3">
        <v>1047.1781000000001</v>
      </c>
      <c r="G430" t="s">
        <v>124</v>
      </c>
      <c r="H430">
        <v>13</v>
      </c>
      <c r="I430">
        <v>1</v>
      </c>
      <c r="J430">
        <v>2009</v>
      </c>
      <c r="K430">
        <v>1</v>
      </c>
      <c r="L430" t="s">
        <v>751</v>
      </c>
    </row>
    <row r="431" spans="1:12" x14ac:dyDescent="0.25">
      <c r="A431">
        <v>431</v>
      </c>
      <c r="B431" t="s">
        <v>752</v>
      </c>
      <c r="C431" t="s">
        <v>100</v>
      </c>
      <c r="D431" t="s">
        <v>1062</v>
      </c>
      <c r="E431" s="2">
        <v>4900000</v>
      </c>
      <c r="F431" s="3">
        <v>1046.9938999999999</v>
      </c>
      <c r="G431" t="s">
        <v>20</v>
      </c>
      <c r="H431">
        <v>210</v>
      </c>
      <c r="I431">
        <v>20</v>
      </c>
      <c r="J431">
        <v>2015</v>
      </c>
      <c r="K431">
        <v>1</v>
      </c>
      <c r="L431" t="s">
        <v>753</v>
      </c>
    </row>
    <row r="432" spans="1:12" x14ac:dyDescent="0.25">
      <c r="A432">
        <v>432</v>
      </c>
      <c r="B432" t="s">
        <v>754</v>
      </c>
      <c r="C432" t="s">
        <v>269</v>
      </c>
      <c r="D432" t="s">
        <v>1072</v>
      </c>
      <c r="E432" s="2">
        <v>8600000</v>
      </c>
      <c r="F432" s="3">
        <v>1046.8096</v>
      </c>
      <c r="G432" t="s">
        <v>261</v>
      </c>
      <c r="H432">
        <v>120</v>
      </c>
      <c r="I432">
        <v>15</v>
      </c>
      <c r="J432">
        <v>2013</v>
      </c>
      <c r="K432">
        <v>2</v>
      </c>
      <c r="L432" t="s">
        <v>755</v>
      </c>
    </row>
    <row r="433" spans="1:12" x14ac:dyDescent="0.25">
      <c r="A433">
        <v>433</v>
      </c>
      <c r="B433" t="s">
        <v>756</v>
      </c>
      <c r="C433" t="s">
        <v>35</v>
      </c>
      <c r="D433" t="s">
        <v>1055</v>
      </c>
      <c r="E433" s="2">
        <v>20400000</v>
      </c>
      <c r="F433" s="3">
        <v>1045.6964</v>
      </c>
      <c r="G433" t="s">
        <v>130</v>
      </c>
      <c r="H433">
        <v>34</v>
      </c>
      <c r="I433">
        <v>12</v>
      </c>
      <c r="J433">
        <v>1988</v>
      </c>
      <c r="K433">
        <v>1</v>
      </c>
      <c r="L433" t="s">
        <v>757</v>
      </c>
    </row>
    <row r="434" spans="1:12" x14ac:dyDescent="0.25">
      <c r="A434">
        <v>434</v>
      </c>
      <c r="B434" t="s">
        <v>758</v>
      </c>
      <c r="C434" t="s">
        <v>38</v>
      </c>
      <c r="D434" t="s">
        <v>1013</v>
      </c>
      <c r="E434" s="2">
        <v>13200000</v>
      </c>
      <c r="F434" s="3">
        <v>1044.9640999999999</v>
      </c>
      <c r="G434" t="s">
        <v>130</v>
      </c>
      <c r="H434">
        <v>130</v>
      </c>
      <c r="I434">
        <v>20</v>
      </c>
      <c r="J434">
        <v>2011</v>
      </c>
      <c r="K434">
        <v>1</v>
      </c>
      <c r="L434" t="s">
        <v>76</v>
      </c>
    </row>
    <row r="435" spans="1:12" x14ac:dyDescent="0.25">
      <c r="A435">
        <v>435</v>
      </c>
      <c r="B435" t="s">
        <v>759</v>
      </c>
      <c r="C435" t="s">
        <v>31</v>
      </c>
      <c r="D435" t="s">
        <v>1054</v>
      </c>
      <c r="E435" s="2">
        <v>38500000</v>
      </c>
      <c r="F435" s="3">
        <v>1043.8893</v>
      </c>
      <c r="G435" t="s">
        <v>20</v>
      </c>
      <c r="H435">
        <v>125</v>
      </c>
      <c r="I435">
        <v>50</v>
      </c>
      <c r="J435">
        <v>2011</v>
      </c>
      <c r="K435">
        <v>2</v>
      </c>
      <c r="L435" t="s">
        <v>760</v>
      </c>
    </row>
    <row r="436" spans="1:12" x14ac:dyDescent="0.25">
      <c r="A436">
        <v>436</v>
      </c>
      <c r="B436" t="s">
        <v>761</v>
      </c>
      <c r="C436" t="s">
        <v>31</v>
      </c>
      <c r="D436" t="s">
        <v>1054</v>
      </c>
      <c r="E436" s="2">
        <v>21300000</v>
      </c>
      <c r="F436" s="3">
        <v>1043.6166000000001</v>
      </c>
      <c r="G436" t="s">
        <v>134</v>
      </c>
      <c r="H436">
        <v>50</v>
      </c>
      <c r="I436">
        <v>17</v>
      </c>
      <c r="J436">
        <v>2011</v>
      </c>
      <c r="K436">
        <v>2</v>
      </c>
      <c r="L436" t="s">
        <v>742</v>
      </c>
    </row>
    <row r="437" spans="1:12" x14ac:dyDescent="0.25">
      <c r="A437">
        <v>437</v>
      </c>
      <c r="B437" t="s">
        <v>762</v>
      </c>
      <c r="C437" t="s">
        <v>354</v>
      </c>
      <c r="D437" t="s">
        <v>1077</v>
      </c>
      <c r="E437" s="2">
        <v>67800000</v>
      </c>
      <c r="F437" s="3">
        <v>1043.2461000000001</v>
      </c>
      <c r="G437" t="s">
        <v>87</v>
      </c>
      <c r="H437">
        <v>53</v>
      </c>
      <c r="I437">
        <v>12</v>
      </c>
      <c r="J437">
        <v>2009</v>
      </c>
      <c r="K437">
        <v>4</v>
      </c>
      <c r="L437" t="s">
        <v>763</v>
      </c>
    </row>
    <row r="438" spans="1:12" x14ac:dyDescent="0.25">
      <c r="A438">
        <v>438</v>
      </c>
      <c r="B438" t="s">
        <v>764</v>
      </c>
      <c r="C438" t="s">
        <v>219</v>
      </c>
      <c r="D438" t="s">
        <v>1071</v>
      </c>
      <c r="E438" s="2">
        <v>10100000</v>
      </c>
      <c r="F438" s="3">
        <v>1041.7625</v>
      </c>
      <c r="G438" t="s">
        <v>7</v>
      </c>
      <c r="H438">
        <v>80</v>
      </c>
      <c r="I438">
        <v>3</v>
      </c>
      <c r="J438">
        <v>2013</v>
      </c>
      <c r="K438">
        <v>2</v>
      </c>
      <c r="L438" t="s">
        <v>220</v>
      </c>
    </row>
    <row r="439" spans="1:12" x14ac:dyDescent="0.25">
      <c r="A439">
        <v>439</v>
      </c>
      <c r="B439" t="s">
        <v>765</v>
      </c>
      <c r="C439" t="s">
        <v>56</v>
      </c>
      <c r="D439" t="s">
        <v>1057</v>
      </c>
      <c r="E439" s="2">
        <v>20800000</v>
      </c>
      <c r="F439" s="3">
        <v>1040.1937</v>
      </c>
      <c r="G439" t="s">
        <v>32</v>
      </c>
      <c r="H439">
        <v>19</v>
      </c>
      <c r="I439">
        <v>8</v>
      </c>
      <c r="J439">
        <v>2011</v>
      </c>
      <c r="K439">
        <v>1</v>
      </c>
      <c r="L439" t="s">
        <v>766</v>
      </c>
    </row>
    <row r="440" spans="1:12" x14ac:dyDescent="0.25">
      <c r="A440">
        <v>440</v>
      </c>
      <c r="B440" t="s">
        <v>767</v>
      </c>
      <c r="C440" t="s">
        <v>72</v>
      </c>
      <c r="D440" t="s">
        <v>1059</v>
      </c>
      <c r="E440" s="2">
        <v>94600000</v>
      </c>
      <c r="F440" s="3">
        <v>1034.8425</v>
      </c>
      <c r="G440" t="s">
        <v>73</v>
      </c>
      <c r="H440">
        <v>96</v>
      </c>
      <c r="I440">
        <v>13</v>
      </c>
      <c r="J440">
        <v>2014</v>
      </c>
      <c r="K440">
        <v>2</v>
      </c>
      <c r="L440" t="s">
        <v>768</v>
      </c>
    </row>
    <row r="441" spans="1:12" x14ac:dyDescent="0.25">
      <c r="A441">
        <v>441</v>
      </c>
      <c r="B441" t="s">
        <v>769</v>
      </c>
      <c r="C441" t="s">
        <v>56</v>
      </c>
      <c r="D441" t="s">
        <v>1057</v>
      </c>
      <c r="E441" s="2">
        <v>2400000</v>
      </c>
      <c r="F441" s="3">
        <v>1033.3862999999999</v>
      </c>
      <c r="G441" t="s">
        <v>108</v>
      </c>
      <c r="H441">
        <v>5</v>
      </c>
      <c r="I441">
        <v>1</v>
      </c>
      <c r="J441">
        <v>2007</v>
      </c>
      <c r="K441">
        <v>1</v>
      </c>
      <c r="L441" t="s">
        <v>58</v>
      </c>
    </row>
    <row r="442" spans="1:12" x14ac:dyDescent="0.25">
      <c r="A442">
        <v>442</v>
      </c>
      <c r="B442" t="s">
        <v>770</v>
      </c>
      <c r="C442" t="s">
        <v>38</v>
      </c>
      <c r="D442" t="s">
        <v>1013</v>
      </c>
      <c r="E442" s="2">
        <v>15900000</v>
      </c>
      <c r="F442" s="3">
        <v>1031.4816000000001</v>
      </c>
      <c r="G442" t="s">
        <v>12</v>
      </c>
      <c r="H442">
        <v>49</v>
      </c>
      <c r="I442">
        <v>9</v>
      </c>
      <c r="J442">
        <v>1985</v>
      </c>
      <c r="K442">
        <v>2</v>
      </c>
      <c r="L442" t="s">
        <v>771</v>
      </c>
    </row>
    <row r="443" spans="1:12" x14ac:dyDescent="0.25">
      <c r="A443">
        <v>443</v>
      </c>
      <c r="B443" t="s">
        <v>772</v>
      </c>
      <c r="C443" t="s">
        <v>219</v>
      </c>
      <c r="D443" t="s">
        <v>1071</v>
      </c>
      <c r="E443" s="2">
        <v>12700000</v>
      </c>
      <c r="F443" s="3">
        <v>1031.0775000000001</v>
      </c>
      <c r="G443" t="s">
        <v>134</v>
      </c>
      <c r="H443">
        <v>94</v>
      </c>
      <c r="I443">
        <v>2</v>
      </c>
      <c r="J443">
        <v>2011</v>
      </c>
      <c r="K443">
        <v>1</v>
      </c>
      <c r="L443" t="s">
        <v>773</v>
      </c>
    </row>
    <row r="444" spans="1:12" x14ac:dyDescent="0.25">
      <c r="A444">
        <v>444</v>
      </c>
      <c r="B444" t="s">
        <v>774</v>
      </c>
      <c r="C444" t="s">
        <v>50</v>
      </c>
      <c r="D444" t="s">
        <v>52</v>
      </c>
      <c r="E444" s="2">
        <v>8900000</v>
      </c>
      <c r="F444" s="3">
        <v>1030.5074</v>
      </c>
      <c r="G444" t="s">
        <v>87</v>
      </c>
      <c r="H444">
        <v>9</v>
      </c>
      <c r="I444">
        <v>6</v>
      </c>
      <c r="J444">
        <v>2014</v>
      </c>
      <c r="K444">
        <v>1</v>
      </c>
      <c r="L444" t="s">
        <v>52</v>
      </c>
    </row>
    <row r="445" spans="1:12" x14ac:dyDescent="0.25">
      <c r="A445">
        <v>445</v>
      </c>
      <c r="B445" t="s">
        <v>775</v>
      </c>
      <c r="C445" t="s">
        <v>38</v>
      </c>
      <c r="D445" t="s">
        <v>1013</v>
      </c>
      <c r="E445" s="2">
        <v>4099999.9999999995</v>
      </c>
      <c r="F445" s="3">
        <v>1022.9622000000001</v>
      </c>
      <c r="G445" t="s">
        <v>108</v>
      </c>
      <c r="H445">
        <v>8</v>
      </c>
      <c r="I445">
        <v>1</v>
      </c>
      <c r="J445">
        <v>2015</v>
      </c>
      <c r="K445">
        <v>1</v>
      </c>
      <c r="L445" t="s">
        <v>76</v>
      </c>
    </row>
    <row r="446" spans="1:12" x14ac:dyDescent="0.25">
      <c r="A446">
        <v>446</v>
      </c>
      <c r="B446" t="s">
        <v>776</v>
      </c>
      <c r="C446" t="s">
        <v>712</v>
      </c>
      <c r="D446" t="s">
        <v>1082</v>
      </c>
      <c r="E446" s="2">
        <v>3000000</v>
      </c>
      <c r="F446" s="3">
        <v>1021.1287</v>
      </c>
      <c r="G446" t="s">
        <v>3</v>
      </c>
      <c r="H446">
        <v>45</v>
      </c>
      <c r="I446">
        <v>4</v>
      </c>
      <c r="J446">
        <v>2013</v>
      </c>
      <c r="K446">
        <v>1</v>
      </c>
      <c r="L446" t="s">
        <v>192</v>
      </c>
    </row>
    <row r="447" spans="1:12" x14ac:dyDescent="0.25">
      <c r="A447">
        <v>447</v>
      </c>
      <c r="B447" t="s">
        <v>777</v>
      </c>
      <c r="C447" t="s">
        <v>219</v>
      </c>
      <c r="D447" t="s">
        <v>1071</v>
      </c>
      <c r="E447" s="2">
        <v>22300000</v>
      </c>
      <c r="F447" s="3">
        <v>1018.1919</v>
      </c>
      <c r="G447" t="s">
        <v>12</v>
      </c>
      <c r="H447">
        <v>18</v>
      </c>
      <c r="I447">
        <v>8</v>
      </c>
      <c r="J447">
        <v>2013</v>
      </c>
      <c r="K447">
        <v>3</v>
      </c>
      <c r="L447" t="s">
        <v>778</v>
      </c>
    </row>
    <row r="448" spans="1:12" x14ac:dyDescent="0.25">
      <c r="A448">
        <v>448</v>
      </c>
      <c r="B448" t="s">
        <v>779</v>
      </c>
      <c r="C448" t="s">
        <v>38</v>
      </c>
      <c r="D448" t="s">
        <v>1013</v>
      </c>
      <c r="E448" s="2">
        <v>31400000</v>
      </c>
      <c r="F448" s="3">
        <v>1014.7548</v>
      </c>
      <c r="G448" t="s">
        <v>73</v>
      </c>
      <c r="H448">
        <v>238</v>
      </c>
      <c r="I448">
        <v>43</v>
      </c>
      <c r="J448">
        <v>2012</v>
      </c>
      <c r="K448">
        <v>2</v>
      </c>
      <c r="L448" t="s">
        <v>76</v>
      </c>
    </row>
    <row r="449" spans="1:12" x14ac:dyDescent="0.25">
      <c r="A449">
        <v>449</v>
      </c>
      <c r="B449" t="s">
        <v>780</v>
      </c>
      <c r="C449" t="s">
        <v>107</v>
      </c>
      <c r="D449" t="s">
        <v>1064</v>
      </c>
      <c r="E449" s="2">
        <v>74300000</v>
      </c>
      <c r="F449" s="3">
        <v>1013.1064</v>
      </c>
      <c r="G449" t="s">
        <v>24</v>
      </c>
      <c r="H449">
        <v>163</v>
      </c>
      <c r="I449">
        <v>53</v>
      </c>
      <c r="J449">
        <v>1984</v>
      </c>
      <c r="K449">
        <v>4</v>
      </c>
      <c r="L449" t="s">
        <v>781</v>
      </c>
    </row>
    <row r="450" spans="1:12" x14ac:dyDescent="0.25">
      <c r="A450">
        <v>450</v>
      </c>
      <c r="B450" t="s">
        <v>782</v>
      </c>
      <c r="C450" t="s">
        <v>100</v>
      </c>
      <c r="D450" t="s">
        <v>1062</v>
      </c>
      <c r="E450" s="2">
        <v>3900000</v>
      </c>
      <c r="F450" s="3">
        <v>1006.828</v>
      </c>
      <c r="G450" t="s">
        <v>7</v>
      </c>
      <c r="H450">
        <v>5</v>
      </c>
      <c r="I450">
        <v>5</v>
      </c>
      <c r="J450">
        <v>2013</v>
      </c>
      <c r="K450">
        <v>1</v>
      </c>
      <c r="L450" t="s">
        <v>783</v>
      </c>
    </row>
    <row r="451" spans="1:12" x14ac:dyDescent="0.25">
      <c r="A451">
        <v>451</v>
      </c>
      <c r="B451" t="s">
        <v>784</v>
      </c>
      <c r="C451" t="s">
        <v>113</v>
      </c>
      <c r="D451" t="s">
        <v>1065</v>
      </c>
      <c r="E451" s="2">
        <v>5900000</v>
      </c>
      <c r="F451" s="3">
        <v>1002.4813</v>
      </c>
      <c r="G451" t="s">
        <v>84</v>
      </c>
      <c r="H451">
        <v>70</v>
      </c>
      <c r="I451">
        <v>6</v>
      </c>
      <c r="J451">
        <v>2010</v>
      </c>
      <c r="K451">
        <v>1</v>
      </c>
      <c r="L451" t="s">
        <v>307</v>
      </c>
    </row>
    <row r="452" spans="1:12" x14ac:dyDescent="0.25">
      <c r="A452">
        <v>452</v>
      </c>
      <c r="B452" t="s">
        <v>785</v>
      </c>
      <c r="C452" t="s">
        <v>786</v>
      </c>
      <c r="D452" t="s">
        <v>1083</v>
      </c>
      <c r="E452" s="2">
        <v>45100000</v>
      </c>
      <c r="F452" s="3">
        <v>1002.0531999999999</v>
      </c>
      <c r="G452" t="s">
        <v>152</v>
      </c>
      <c r="H452">
        <v>2000</v>
      </c>
      <c r="I452">
        <v>400</v>
      </c>
      <c r="J452">
        <v>2015</v>
      </c>
      <c r="K452">
        <v>1</v>
      </c>
      <c r="L452" t="s">
        <v>787</v>
      </c>
    </row>
    <row r="453" spans="1:12" x14ac:dyDescent="0.25">
      <c r="A453">
        <v>453</v>
      </c>
      <c r="B453" t="s">
        <v>788</v>
      </c>
      <c r="C453" t="s">
        <v>31</v>
      </c>
      <c r="D453" t="s">
        <v>1054</v>
      </c>
      <c r="E453" s="2">
        <v>2700000</v>
      </c>
      <c r="F453" s="3">
        <v>1001.6224</v>
      </c>
      <c r="G453" t="s">
        <v>87</v>
      </c>
      <c r="H453">
        <v>45</v>
      </c>
      <c r="I453">
        <v>8</v>
      </c>
      <c r="J453">
        <v>2014</v>
      </c>
      <c r="K453">
        <v>2</v>
      </c>
      <c r="L453" t="s">
        <v>447</v>
      </c>
    </row>
    <row r="454" spans="1:12" x14ac:dyDescent="0.25">
      <c r="A454">
        <v>454</v>
      </c>
      <c r="B454" t="s">
        <v>789</v>
      </c>
      <c r="C454" t="s">
        <v>543</v>
      </c>
      <c r="D454" t="s">
        <v>1012</v>
      </c>
      <c r="E454" s="2">
        <v>18600000</v>
      </c>
      <c r="F454" s="3">
        <v>998.02930000000003</v>
      </c>
      <c r="G454" t="s">
        <v>146</v>
      </c>
      <c r="H454">
        <v>180</v>
      </c>
      <c r="I454">
        <v>30</v>
      </c>
      <c r="J454">
        <v>2013</v>
      </c>
      <c r="K454">
        <v>2</v>
      </c>
      <c r="L454" t="s">
        <v>790</v>
      </c>
    </row>
    <row r="455" spans="1:12" x14ac:dyDescent="0.25">
      <c r="A455">
        <v>455</v>
      </c>
      <c r="B455" t="s">
        <v>791</v>
      </c>
      <c r="C455" t="s">
        <v>38</v>
      </c>
      <c r="D455" t="s">
        <v>1013</v>
      </c>
      <c r="E455" s="2">
        <v>159700000</v>
      </c>
      <c r="F455" s="3">
        <v>996.02279999999996</v>
      </c>
      <c r="G455" t="s">
        <v>16</v>
      </c>
      <c r="H455">
        <v>77</v>
      </c>
      <c r="I455">
        <v>47</v>
      </c>
      <c r="J455">
        <v>2013</v>
      </c>
      <c r="K455">
        <v>3</v>
      </c>
      <c r="L455" t="s">
        <v>76</v>
      </c>
    </row>
    <row r="456" spans="1:12" x14ac:dyDescent="0.25">
      <c r="A456">
        <v>456</v>
      </c>
      <c r="B456" t="s">
        <v>792</v>
      </c>
      <c r="C456" t="s">
        <v>38</v>
      </c>
      <c r="D456" t="s">
        <v>1013</v>
      </c>
      <c r="E456" s="2">
        <v>4400000</v>
      </c>
      <c r="F456" s="3">
        <v>992.66470000000004</v>
      </c>
      <c r="G456" t="s">
        <v>20</v>
      </c>
      <c r="H456">
        <v>45</v>
      </c>
      <c r="I456">
        <v>3</v>
      </c>
      <c r="J456">
        <v>2014</v>
      </c>
      <c r="K456">
        <v>2</v>
      </c>
      <c r="L456" t="s">
        <v>793</v>
      </c>
    </row>
    <row r="457" spans="1:12" x14ac:dyDescent="0.25">
      <c r="A457">
        <v>457</v>
      </c>
      <c r="B457" t="s">
        <v>794</v>
      </c>
      <c r="C457" t="s">
        <v>219</v>
      </c>
      <c r="D457" t="s">
        <v>1071</v>
      </c>
      <c r="E457" s="2">
        <v>29800000</v>
      </c>
      <c r="F457" s="3">
        <v>987.19370000000004</v>
      </c>
      <c r="G457" t="s">
        <v>261</v>
      </c>
      <c r="H457">
        <v>295</v>
      </c>
      <c r="I457">
        <v>52</v>
      </c>
      <c r="J457">
        <v>2014</v>
      </c>
      <c r="K457">
        <v>1</v>
      </c>
      <c r="L457" t="s">
        <v>795</v>
      </c>
    </row>
    <row r="458" spans="1:12" x14ac:dyDescent="0.25">
      <c r="A458">
        <v>458</v>
      </c>
      <c r="B458" t="s">
        <v>796</v>
      </c>
      <c r="C458" t="s">
        <v>38</v>
      </c>
      <c r="D458" t="s">
        <v>1013</v>
      </c>
      <c r="E458" s="2">
        <v>3600000</v>
      </c>
      <c r="F458" s="3">
        <v>987.04240000000004</v>
      </c>
      <c r="G458" t="s">
        <v>20</v>
      </c>
      <c r="H458">
        <v>8</v>
      </c>
      <c r="I458">
        <v>4</v>
      </c>
      <c r="J458">
        <v>2011</v>
      </c>
      <c r="K458">
        <v>1</v>
      </c>
      <c r="L458" t="s">
        <v>797</v>
      </c>
    </row>
    <row r="459" spans="1:12" x14ac:dyDescent="0.25">
      <c r="A459">
        <v>459</v>
      </c>
      <c r="B459" t="s">
        <v>798</v>
      </c>
      <c r="C459" t="s">
        <v>23</v>
      </c>
      <c r="D459" t="s">
        <v>321</v>
      </c>
      <c r="E459" s="2">
        <v>11300000</v>
      </c>
      <c r="F459" s="3">
        <v>986.3578</v>
      </c>
      <c r="G459" t="s">
        <v>20</v>
      </c>
      <c r="H459">
        <v>20</v>
      </c>
      <c r="I459">
        <v>2</v>
      </c>
      <c r="J459">
        <v>2013</v>
      </c>
      <c r="K459">
        <v>2</v>
      </c>
      <c r="L459" t="s">
        <v>25</v>
      </c>
    </row>
    <row r="460" spans="1:12" x14ac:dyDescent="0.25">
      <c r="A460">
        <v>460</v>
      </c>
      <c r="B460" t="s">
        <v>799</v>
      </c>
      <c r="C460" t="s">
        <v>191</v>
      </c>
      <c r="D460" t="s">
        <v>1069</v>
      </c>
      <c r="E460" s="2">
        <v>7800000</v>
      </c>
      <c r="F460" s="3">
        <v>983.45209999999997</v>
      </c>
      <c r="G460" t="s">
        <v>97</v>
      </c>
      <c r="H460">
        <v>39</v>
      </c>
      <c r="I460">
        <v>2</v>
      </c>
      <c r="J460">
        <v>2015</v>
      </c>
      <c r="K460">
        <v>1</v>
      </c>
      <c r="L460" t="s">
        <v>800</v>
      </c>
    </row>
    <row r="461" spans="1:12" x14ac:dyDescent="0.25">
      <c r="A461">
        <v>461</v>
      </c>
      <c r="B461" t="s">
        <v>801</v>
      </c>
      <c r="C461" t="s">
        <v>802</v>
      </c>
      <c r="D461" t="s">
        <v>1084</v>
      </c>
      <c r="E461" s="2">
        <v>2800000</v>
      </c>
      <c r="F461" s="3">
        <v>980.62800000000004</v>
      </c>
      <c r="G461" t="s">
        <v>20</v>
      </c>
      <c r="H461">
        <v>6</v>
      </c>
      <c r="I461">
        <v>2</v>
      </c>
      <c r="J461">
        <v>2015</v>
      </c>
      <c r="K461">
        <v>1</v>
      </c>
      <c r="L461" t="s">
        <v>803</v>
      </c>
    </row>
    <row r="462" spans="1:12" x14ac:dyDescent="0.25">
      <c r="A462">
        <v>462</v>
      </c>
      <c r="B462" t="s">
        <v>804</v>
      </c>
      <c r="C462" t="s">
        <v>31</v>
      </c>
      <c r="D462" t="s">
        <v>1054</v>
      </c>
      <c r="E462" s="2">
        <v>3200000</v>
      </c>
      <c r="F462" s="3">
        <v>976.76110000000006</v>
      </c>
      <c r="G462" t="s">
        <v>84</v>
      </c>
      <c r="H462">
        <v>15</v>
      </c>
      <c r="I462">
        <v>11</v>
      </c>
      <c r="J462">
        <v>2005</v>
      </c>
      <c r="K462">
        <v>2</v>
      </c>
      <c r="L462" t="s">
        <v>805</v>
      </c>
    </row>
    <row r="463" spans="1:12" x14ac:dyDescent="0.25">
      <c r="A463">
        <v>463</v>
      </c>
      <c r="B463" t="s">
        <v>806</v>
      </c>
      <c r="C463" t="s">
        <v>23</v>
      </c>
      <c r="D463" t="s">
        <v>321</v>
      </c>
      <c r="E463" s="2">
        <v>18800000</v>
      </c>
      <c r="F463" s="3">
        <v>971.01400000000001</v>
      </c>
      <c r="G463" t="s">
        <v>3</v>
      </c>
      <c r="H463">
        <v>26</v>
      </c>
      <c r="I463">
        <v>15</v>
      </c>
      <c r="J463">
        <v>2009</v>
      </c>
      <c r="K463">
        <v>3</v>
      </c>
      <c r="L463" t="s">
        <v>94</v>
      </c>
    </row>
    <row r="464" spans="1:12" x14ac:dyDescent="0.25">
      <c r="A464">
        <v>464</v>
      </c>
      <c r="B464" t="s">
        <v>807</v>
      </c>
      <c r="C464" t="s">
        <v>11</v>
      </c>
      <c r="D464" t="s">
        <v>1050</v>
      </c>
      <c r="E464" s="2">
        <v>7500000</v>
      </c>
      <c r="F464" s="3">
        <v>967.57129999999995</v>
      </c>
      <c r="G464" t="s">
        <v>51</v>
      </c>
      <c r="H464">
        <v>48</v>
      </c>
      <c r="I464">
        <v>6</v>
      </c>
      <c r="J464">
        <v>1909</v>
      </c>
      <c r="K464">
        <v>1</v>
      </c>
      <c r="L464" t="s">
        <v>120</v>
      </c>
    </row>
    <row r="465" spans="1:12" x14ac:dyDescent="0.25">
      <c r="A465">
        <v>465</v>
      </c>
      <c r="B465" t="s">
        <v>808</v>
      </c>
      <c r="C465" t="s">
        <v>11</v>
      </c>
      <c r="D465" t="s">
        <v>1050</v>
      </c>
      <c r="E465" s="2">
        <v>14200000</v>
      </c>
      <c r="F465" s="3">
        <v>967.26829999999995</v>
      </c>
      <c r="G465" t="s">
        <v>7</v>
      </c>
      <c r="H465">
        <v>103</v>
      </c>
      <c r="I465">
        <v>27</v>
      </c>
      <c r="J465">
        <v>2013</v>
      </c>
      <c r="K465">
        <v>1</v>
      </c>
      <c r="L465" t="s">
        <v>120</v>
      </c>
    </row>
    <row r="466" spans="1:12" x14ac:dyDescent="0.25">
      <c r="A466">
        <v>466</v>
      </c>
      <c r="B466" t="s">
        <v>809</v>
      </c>
      <c r="C466" t="s">
        <v>354</v>
      </c>
      <c r="D466" t="s">
        <v>1077</v>
      </c>
      <c r="E466" s="2">
        <v>17400000</v>
      </c>
      <c r="F466" s="3">
        <v>966.44240000000002</v>
      </c>
      <c r="G466" t="s">
        <v>3</v>
      </c>
      <c r="H466">
        <v>36</v>
      </c>
      <c r="I466">
        <v>13</v>
      </c>
      <c r="J466">
        <v>2006</v>
      </c>
      <c r="K466">
        <v>1</v>
      </c>
      <c r="L466" t="s">
        <v>481</v>
      </c>
    </row>
    <row r="467" spans="1:12" x14ac:dyDescent="0.25">
      <c r="A467">
        <v>467</v>
      </c>
      <c r="B467" t="s">
        <v>810</v>
      </c>
      <c r="C467" t="s">
        <v>113</v>
      </c>
      <c r="D467" t="s">
        <v>1065</v>
      </c>
      <c r="E467" s="2">
        <v>5800000</v>
      </c>
      <c r="F467" s="3">
        <v>966.17039999999997</v>
      </c>
      <c r="G467" t="s">
        <v>130</v>
      </c>
      <c r="H467">
        <v>20</v>
      </c>
      <c r="I467">
        <v>4</v>
      </c>
      <c r="J467">
        <v>2014</v>
      </c>
      <c r="K467">
        <v>1</v>
      </c>
      <c r="L467" t="s">
        <v>811</v>
      </c>
    </row>
    <row r="468" spans="1:12" x14ac:dyDescent="0.25">
      <c r="A468">
        <v>468</v>
      </c>
      <c r="B468" t="s">
        <v>812</v>
      </c>
      <c r="C468" t="s">
        <v>38</v>
      </c>
      <c r="D468" t="s">
        <v>1013</v>
      </c>
      <c r="E468" s="2">
        <v>4500000</v>
      </c>
      <c r="F468" s="3">
        <v>965.33910000000003</v>
      </c>
      <c r="G468" t="s">
        <v>3</v>
      </c>
      <c r="H468">
        <v>46</v>
      </c>
      <c r="I468">
        <v>8</v>
      </c>
      <c r="J468">
        <v>2014</v>
      </c>
      <c r="K468">
        <v>1</v>
      </c>
      <c r="L468" t="s">
        <v>391</v>
      </c>
    </row>
    <row r="469" spans="1:12" x14ac:dyDescent="0.25">
      <c r="A469">
        <v>469</v>
      </c>
      <c r="B469" t="s">
        <v>813</v>
      </c>
      <c r="C469" t="s">
        <v>11</v>
      </c>
      <c r="D469" t="s">
        <v>1050</v>
      </c>
      <c r="E469" s="2">
        <v>52300000</v>
      </c>
      <c r="F469" s="3">
        <v>957.65920000000006</v>
      </c>
      <c r="G469" t="s">
        <v>73</v>
      </c>
      <c r="H469">
        <v>397</v>
      </c>
      <c r="I469">
        <v>155</v>
      </c>
      <c r="J469">
        <v>2009</v>
      </c>
      <c r="K469">
        <v>3</v>
      </c>
      <c r="L469" t="s">
        <v>718</v>
      </c>
    </row>
    <row r="470" spans="1:12" x14ac:dyDescent="0.25">
      <c r="A470">
        <v>470</v>
      </c>
      <c r="B470" t="s">
        <v>814</v>
      </c>
      <c r="C470" t="s">
        <v>41</v>
      </c>
      <c r="D470" t="s">
        <v>1056</v>
      </c>
      <c r="E470" s="2">
        <v>40000000</v>
      </c>
      <c r="F470" s="3">
        <v>957.06209999999999</v>
      </c>
      <c r="G470" t="s">
        <v>7</v>
      </c>
      <c r="H470">
        <v>170</v>
      </c>
      <c r="I470">
        <v>35</v>
      </c>
      <c r="J470">
        <v>2009</v>
      </c>
      <c r="K470">
        <v>1</v>
      </c>
      <c r="L470" t="s">
        <v>42</v>
      </c>
    </row>
    <row r="471" spans="1:12" x14ac:dyDescent="0.25">
      <c r="A471">
        <v>471</v>
      </c>
      <c r="B471" t="s">
        <v>815</v>
      </c>
      <c r="C471" t="s">
        <v>11</v>
      </c>
      <c r="D471" t="s">
        <v>1050</v>
      </c>
      <c r="E471" s="2">
        <v>42900000</v>
      </c>
      <c r="F471" s="3">
        <v>956.40930000000003</v>
      </c>
      <c r="G471" t="s">
        <v>24</v>
      </c>
      <c r="H471">
        <v>50</v>
      </c>
      <c r="I471">
        <v>16</v>
      </c>
      <c r="J471">
        <v>2013</v>
      </c>
      <c r="K471">
        <v>1</v>
      </c>
      <c r="L471" t="s">
        <v>816</v>
      </c>
    </row>
    <row r="472" spans="1:12" x14ac:dyDescent="0.25">
      <c r="A472">
        <v>472</v>
      </c>
      <c r="B472" t="s">
        <v>817</v>
      </c>
      <c r="C472" t="s">
        <v>31</v>
      </c>
      <c r="D472" t="s">
        <v>1054</v>
      </c>
      <c r="E472" s="2">
        <v>11600000</v>
      </c>
      <c r="F472" s="3">
        <v>955.40260000000001</v>
      </c>
      <c r="G472" t="s">
        <v>87</v>
      </c>
      <c r="H472">
        <v>87</v>
      </c>
      <c r="I472">
        <v>14</v>
      </c>
      <c r="J472">
        <v>2012</v>
      </c>
      <c r="K472">
        <v>2</v>
      </c>
      <c r="L472" t="s">
        <v>818</v>
      </c>
    </row>
    <row r="473" spans="1:12" x14ac:dyDescent="0.25">
      <c r="A473">
        <v>473</v>
      </c>
      <c r="B473" t="s">
        <v>819</v>
      </c>
      <c r="C473" t="s">
        <v>46</v>
      </c>
      <c r="D473" t="s">
        <v>397</v>
      </c>
      <c r="E473" s="2">
        <v>2000000</v>
      </c>
      <c r="F473" s="3">
        <v>947.21199999999999</v>
      </c>
      <c r="G473" t="s">
        <v>152</v>
      </c>
      <c r="H473">
        <v>34</v>
      </c>
      <c r="I473">
        <v>4</v>
      </c>
      <c r="J473">
        <v>2012</v>
      </c>
      <c r="K473">
        <v>1</v>
      </c>
      <c r="L473" t="s">
        <v>820</v>
      </c>
    </row>
    <row r="474" spans="1:12" x14ac:dyDescent="0.25">
      <c r="A474">
        <v>474</v>
      </c>
      <c r="B474" t="s">
        <v>821</v>
      </c>
      <c r="C474" t="s">
        <v>50</v>
      </c>
      <c r="D474" t="s">
        <v>52</v>
      </c>
      <c r="E474" s="2">
        <v>7100000</v>
      </c>
      <c r="F474" s="3">
        <v>946.60699999999997</v>
      </c>
      <c r="G474" t="s">
        <v>3</v>
      </c>
      <c r="H474">
        <v>77</v>
      </c>
      <c r="I474">
        <v>8</v>
      </c>
      <c r="J474">
        <v>2011</v>
      </c>
      <c r="K474">
        <v>2</v>
      </c>
      <c r="L474" t="s">
        <v>52</v>
      </c>
    </row>
    <row r="475" spans="1:12" x14ac:dyDescent="0.25">
      <c r="A475">
        <v>475</v>
      </c>
      <c r="B475" t="s">
        <v>822</v>
      </c>
      <c r="C475" t="s">
        <v>56</v>
      </c>
      <c r="D475" t="s">
        <v>1057</v>
      </c>
      <c r="E475" s="2">
        <v>2000000</v>
      </c>
      <c r="F475" s="3">
        <v>935.03480000000002</v>
      </c>
      <c r="G475" t="s">
        <v>152</v>
      </c>
      <c r="H475">
        <v>5</v>
      </c>
      <c r="I475">
        <v>13</v>
      </c>
      <c r="J475">
        <v>2001</v>
      </c>
      <c r="K475">
        <v>1</v>
      </c>
      <c r="L475" t="s">
        <v>823</v>
      </c>
    </row>
    <row r="476" spans="1:12" x14ac:dyDescent="0.25">
      <c r="A476">
        <v>476</v>
      </c>
      <c r="B476" t="s">
        <v>824</v>
      </c>
      <c r="C476" t="s">
        <v>354</v>
      </c>
      <c r="D476" t="s">
        <v>1077</v>
      </c>
      <c r="E476" s="2">
        <v>30100000</v>
      </c>
      <c r="F476" s="3">
        <v>926.89530000000002</v>
      </c>
      <c r="G476" t="s">
        <v>152</v>
      </c>
      <c r="H476">
        <v>80</v>
      </c>
      <c r="I476">
        <v>14</v>
      </c>
      <c r="J476">
        <v>2014</v>
      </c>
      <c r="K476">
        <v>1</v>
      </c>
      <c r="L476" t="s">
        <v>825</v>
      </c>
    </row>
    <row r="477" spans="1:12" x14ac:dyDescent="0.25">
      <c r="A477">
        <v>477</v>
      </c>
      <c r="B477" t="s">
        <v>826</v>
      </c>
      <c r="C477" t="s">
        <v>11</v>
      </c>
      <c r="D477" t="s">
        <v>1050</v>
      </c>
      <c r="E477" s="2">
        <v>3000000</v>
      </c>
      <c r="F477" s="3">
        <v>924.44410000000005</v>
      </c>
      <c r="G477" t="s">
        <v>73</v>
      </c>
      <c r="H477">
        <v>21</v>
      </c>
      <c r="I477">
        <v>3</v>
      </c>
      <c r="J477">
        <v>2014</v>
      </c>
      <c r="K477">
        <v>1</v>
      </c>
      <c r="L477" t="s">
        <v>120</v>
      </c>
    </row>
    <row r="478" spans="1:12" x14ac:dyDescent="0.25">
      <c r="A478">
        <v>478</v>
      </c>
      <c r="B478" t="s">
        <v>827</v>
      </c>
      <c r="C478" t="s">
        <v>38</v>
      </c>
      <c r="D478" t="s">
        <v>1013</v>
      </c>
      <c r="E478" s="2">
        <v>7700000</v>
      </c>
      <c r="F478" s="3">
        <v>922.49779999999998</v>
      </c>
      <c r="G478" t="s">
        <v>51</v>
      </c>
      <c r="H478">
        <v>13</v>
      </c>
      <c r="I478">
        <v>6</v>
      </c>
      <c r="J478">
        <v>2012</v>
      </c>
      <c r="K478">
        <v>2</v>
      </c>
      <c r="L478" t="s">
        <v>828</v>
      </c>
    </row>
    <row r="479" spans="1:12" x14ac:dyDescent="0.25">
      <c r="A479">
        <v>479</v>
      </c>
      <c r="B479" t="s">
        <v>829</v>
      </c>
      <c r="C479" t="s">
        <v>38</v>
      </c>
      <c r="D479" t="s">
        <v>1013</v>
      </c>
      <c r="E479" s="2">
        <v>22100000</v>
      </c>
      <c r="F479" s="3">
        <v>916.09939999999995</v>
      </c>
      <c r="G479" t="s">
        <v>3</v>
      </c>
      <c r="H479">
        <v>65</v>
      </c>
      <c r="I479">
        <v>5</v>
      </c>
      <c r="J479">
        <v>2013</v>
      </c>
      <c r="K479">
        <v>2</v>
      </c>
      <c r="L479" t="s">
        <v>331</v>
      </c>
    </row>
    <row r="480" spans="1:12" x14ac:dyDescent="0.25">
      <c r="A480">
        <v>480</v>
      </c>
      <c r="B480" t="s">
        <v>830</v>
      </c>
      <c r="C480" t="s">
        <v>23</v>
      </c>
      <c r="D480" t="s">
        <v>321</v>
      </c>
      <c r="E480" s="2">
        <v>2500000</v>
      </c>
      <c r="F480" s="3">
        <v>916.06700000000001</v>
      </c>
      <c r="G480" t="s">
        <v>73</v>
      </c>
      <c r="H480">
        <v>75</v>
      </c>
      <c r="I480">
        <v>20</v>
      </c>
      <c r="J480">
        <v>2003</v>
      </c>
      <c r="K480">
        <v>1</v>
      </c>
      <c r="L480" t="s">
        <v>831</v>
      </c>
    </row>
    <row r="481" spans="1:12" x14ac:dyDescent="0.25">
      <c r="A481">
        <v>481</v>
      </c>
      <c r="B481" t="s">
        <v>832</v>
      </c>
      <c r="C481" t="s">
        <v>786</v>
      </c>
      <c r="D481" t="s">
        <v>1083</v>
      </c>
      <c r="E481" s="2">
        <v>2300000</v>
      </c>
      <c r="F481" s="3">
        <v>913.73509999999999</v>
      </c>
      <c r="G481" t="s">
        <v>73</v>
      </c>
      <c r="H481">
        <v>20</v>
      </c>
      <c r="I481">
        <v>3</v>
      </c>
      <c r="J481">
        <v>2013</v>
      </c>
      <c r="K481">
        <v>1</v>
      </c>
      <c r="L481" t="s">
        <v>833</v>
      </c>
    </row>
    <row r="482" spans="1:12" x14ac:dyDescent="0.25">
      <c r="A482">
        <v>482</v>
      </c>
      <c r="B482" t="s">
        <v>834</v>
      </c>
      <c r="C482" t="s">
        <v>41</v>
      </c>
      <c r="D482" t="s">
        <v>1056</v>
      </c>
      <c r="E482" s="2">
        <v>2500000</v>
      </c>
      <c r="F482" s="3">
        <v>912.01350000000002</v>
      </c>
      <c r="G482" t="s">
        <v>73</v>
      </c>
      <c r="H482">
        <v>21</v>
      </c>
      <c r="I482">
        <v>10</v>
      </c>
      <c r="J482">
        <v>2013</v>
      </c>
      <c r="K482">
        <v>1</v>
      </c>
      <c r="L482" t="s">
        <v>835</v>
      </c>
    </row>
    <row r="483" spans="1:12" x14ac:dyDescent="0.25">
      <c r="A483">
        <v>483</v>
      </c>
      <c r="B483" t="s">
        <v>836</v>
      </c>
      <c r="C483" t="s">
        <v>6</v>
      </c>
      <c r="D483" t="s">
        <v>1049</v>
      </c>
      <c r="E483" s="2">
        <v>31300000</v>
      </c>
      <c r="F483" s="3">
        <v>910.9692</v>
      </c>
      <c r="G483" t="s">
        <v>7</v>
      </c>
      <c r="H483">
        <v>51</v>
      </c>
      <c r="I483">
        <v>6</v>
      </c>
      <c r="J483">
        <v>2013</v>
      </c>
      <c r="K483">
        <v>2</v>
      </c>
      <c r="L483" t="s">
        <v>418</v>
      </c>
    </row>
    <row r="484" spans="1:12" x14ac:dyDescent="0.25">
      <c r="A484">
        <v>484</v>
      </c>
      <c r="B484" t="s">
        <v>837</v>
      </c>
      <c r="C484" t="s">
        <v>31</v>
      </c>
      <c r="D484" t="s">
        <v>1054</v>
      </c>
      <c r="E484" s="2">
        <v>3500000</v>
      </c>
      <c r="F484" s="3">
        <v>904.62059999999997</v>
      </c>
      <c r="G484" t="s">
        <v>84</v>
      </c>
      <c r="H484">
        <v>20</v>
      </c>
      <c r="I484">
        <v>2</v>
      </c>
      <c r="J484">
        <v>2004</v>
      </c>
      <c r="K484">
        <v>2</v>
      </c>
      <c r="L484" t="s">
        <v>177</v>
      </c>
    </row>
    <row r="485" spans="1:12" x14ac:dyDescent="0.25">
      <c r="A485">
        <v>485</v>
      </c>
      <c r="B485" t="s">
        <v>838</v>
      </c>
      <c r="C485" t="s">
        <v>27</v>
      </c>
      <c r="D485" t="s">
        <v>1053</v>
      </c>
      <c r="E485" s="2">
        <v>7200000</v>
      </c>
      <c r="F485" s="3">
        <v>904.37109999999996</v>
      </c>
      <c r="G485" t="s">
        <v>12</v>
      </c>
      <c r="H485">
        <v>8</v>
      </c>
      <c r="I485">
        <v>5</v>
      </c>
      <c r="J485">
        <v>2013</v>
      </c>
      <c r="K485">
        <v>2</v>
      </c>
      <c r="L485" t="s">
        <v>839</v>
      </c>
    </row>
    <row r="486" spans="1:12" x14ac:dyDescent="0.25">
      <c r="A486">
        <v>486</v>
      </c>
      <c r="B486" t="s">
        <v>840</v>
      </c>
      <c r="C486" t="s">
        <v>38</v>
      </c>
      <c r="D486" t="s">
        <v>1013</v>
      </c>
      <c r="E486" s="2">
        <v>59400000</v>
      </c>
      <c r="F486" s="3">
        <v>903.18910000000005</v>
      </c>
      <c r="G486" t="s">
        <v>73</v>
      </c>
      <c r="H486">
        <v>574</v>
      </c>
      <c r="I486">
        <v>85</v>
      </c>
      <c r="J486">
        <v>2012</v>
      </c>
      <c r="K486">
        <v>1</v>
      </c>
      <c r="L486" t="s">
        <v>841</v>
      </c>
    </row>
    <row r="487" spans="1:12" x14ac:dyDescent="0.25">
      <c r="A487">
        <v>487</v>
      </c>
      <c r="B487" t="s">
        <v>842</v>
      </c>
      <c r="C487" t="s">
        <v>155</v>
      </c>
      <c r="D487" t="s">
        <v>1068</v>
      </c>
      <c r="E487" s="2">
        <v>78600000</v>
      </c>
      <c r="F487" s="3">
        <v>902.20129999999995</v>
      </c>
      <c r="G487" t="s">
        <v>81</v>
      </c>
      <c r="H487">
        <v>90</v>
      </c>
      <c r="I487">
        <v>34</v>
      </c>
      <c r="J487">
        <v>2010</v>
      </c>
      <c r="K487">
        <v>3</v>
      </c>
      <c r="L487" t="s">
        <v>156</v>
      </c>
    </row>
    <row r="488" spans="1:12" x14ac:dyDescent="0.25">
      <c r="A488">
        <v>488</v>
      </c>
      <c r="B488" t="s">
        <v>843</v>
      </c>
      <c r="C488" t="s">
        <v>515</v>
      </c>
      <c r="D488" t="s">
        <v>1080</v>
      </c>
      <c r="E488" s="2">
        <v>11400000</v>
      </c>
      <c r="F488" s="3">
        <v>900.69560000000001</v>
      </c>
      <c r="G488" t="s">
        <v>51</v>
      </c>
      <c r="H488">
        <v>61</v>
      </c>
      <c r="I488">
        <v>19</v>
      </c>
      <c r="J488">
        <v>2015</v>
      </c>
      <c r="K488">
        <v>2</v>
      </c>
      <c r="L488" t="s">
        <v>251</v>
      </c>
    </row>
    <row r="489" spans="1:12" x14ac:dyDescent="0.25">
      <c r="A489">
        <v>489</v>
      </c>
      <c r="B489" t="s">
        <v>844</v>
      </c>
      <c r="C489" t="s">
        <v>100</v>
      </c>
      <c r="D489" t="s">
        <v>1062</v>
      </c>
      <c r="E489" s="2">
        <v>5400000</v>
      </c>
      <c r="F489" s="3">
        <v>900.46130000000005</v>
      </c>
      <c r="G489" t="s">
        <v>97</v>
      </c>
      <c r="H489">
        <v>7</v>
      </c>
      <c r="I489">
        <v>2</v>
      </c>
      <c r="J489">
        <v>2009</v>
      </c>
      <c r="K489">
        <v>2</v>
      </c>
      <c r="L489" t="s">
        <v>845</v>
      </c>
    </row>
    <row r="490" spans="1:12" x14ac:dyDescent="0.25">
      <c r="A490">
        <v>490</v>
      </c>
      <c r="B490" t="s">
        <v>846</v>
      </c>
      <c r="C490" t="s">
        <v>41</v>
      </c>
      <c r="D490" t="s">
        <v>1056</v>
      </c>
      <c r="E490" s="2">
        <v>45400000</v>
      </c>
      <c r="F490" s="3">
        <v>896.67610000000002</v>
      </c>
      <c r="G490" t="s">
        <v>81</v>
      </c>
      <c r="H490">
        <v>78</v>
      </c>
      <c r="I490">
        <v>25</v>
      </c>
      <c r="J490">
        <v>2011</v>
      </c>
      <c r="K490">
        <v>2</v>
      </c>
      <c r="L490" t="s">
        <v>835</v>
      </c>
    </row>
    <row r="491" spans="1:12" x14ac:dyDescent="0.25">
      <c r="A491">
        <v>491</v>
      </c>
      <c r="B491" t="s">
        <v>847</v>
      </c>
      <c r="C491" t="s">
        <v>113</v>
      </c>
      <c r="D491" t="s">
        <v>1065</v>
      </c>
      <c r="E491" s="2">
        <v>52400000</v>
      </c>
      <c r="F491" s="3">
        <v>895.32730000000004</v>
      </c>
      <c r="G491" t="s">
        <v>81</v>
      </c>
      <c r="H491">
        <v>17</v>
      </c>
      <c r="I491">
        <v>5</v>
      </c>
      <c r="J491">
        <v>2013</v>
      </c>
      <c r="K491">
        <v>1</v>
      </c>
      <c r="L491" t="s">
        <v>848</v>
      </c>
    </row>
    <row r="492" spans="1:12" x14ac:dyDescent="0.25">
      <c r="A492">
        <v>492</v>
      </c>
      <c r="B492" t="s">
        <v>849</v>
      </c>
      <c r="C492" t="s">
        <v>23</v>
      </c>
      <c r="D492" t="s">
        <v>321</v>
      </c>
      <c r="E492" s="2">
        <v>5400000</v>
      </c>
      <c r="F492" s="3">
        <v>894.68119999999999</v>
      </c>
      <c r="G492" t="s">
        <v>20</v>
      </c>
      <c r="H492">
        <v>30</v>
      </c>
      <c r="I492">
        <v>6</v>
      </c>
      <c r="J492">
        <v>2012</v>
      </c>
      <c r="K492">
        <v>2</v>
      </c>
      <c r="L492" t="s">
        <v>850</v>
      </c>
    </row>
    <row r="493" spans="1:12" x14ac:dyDescent="0.25">
      <c r="A493">
        <v>493</v>
      </c>
      <c r="B493" t="s">
        <v>851</v>
      </c>
      <c r="C493" t="s">
        <v>41</v>
      </c>
      <c r="D493" t="s">
        <v>1056</v>
      </c>
      <c r="E493" s="2">
        <v>5300000</v>
      </c>
      <c r="F493" s="3">
        <v>893.62699999999995</v>
      </c>
      <c r="G493" t="s">
        <v>12</v>
      </c>
      <c r="H493">
        <v>36</v>
      </c>
      <c r="I493">
        <v>12</v>
      </c>
      <c r="J493">
        <v>2013</v>
      </c>
      <c r="K493">
        <v>1</v>
      </c>
      <c r="L493" t="s">
        <v>42</v>
      </c>
    </row>
    <row r="494" spans="1:12" x14ac:dyDescent="0.25">
      <c r="A494">
        <v>494</v>
      </c>
      <c r="B494" t="s">
        <v>852</v>
      </c>
      <c r="C494" t="s">
        <v>19</v>
      </c>
      <c r="D494" t="s">
        <v>1052</v>
      </c>
      <c r="E494" s="2">
        <v>18400000</v>
      </c>
      <c r="F494" s="3">
        <v>890.89459999999997</v>
      </c>
      <c r="G494" t="s">
        <v>108</v>
      </c>
      <c r="H494">
        <v>28</v>
      </c>
      <c r="I494">
        <v>5</v>
      </c>
      <c r="J494">
        <v>2009</v>
      </c>
      <c r="K494">
        <v>3</v>
      </c>
      <c r="L494" t="s">
        <v>21</v>
      </c>
    </row>
    <row r="495" spans="1:12" x14ac:dyDescent="0.25">
      <c r="A495">
        <v>495</v>
      </c>
      <c r="B495" t="s">
        <v>853</v>
      </c>
      <c r="C495" t="s">
        <v>38</v>
      </c>
      <c r="D495" t="s">
        <v>1013</v>
      </c>
      <c r="E495" s="2">
        <v>2200000</v>
      </c>
      <c r="F495" s="3">
        <v>889.64340000000004</v>
      </c>
      <c r="G495" t="s">
        <v>24</v>
      </c>
      <c r="H495">
        <v>37</v>
      </c>
      <c r="I495">
        <v>2</v>
      </c>
      <c r="J495">
        <v>2014</v>
      </c>
      <c r="K495">
        <v>1</v>
      </c>
      <c r="L495" t="s">
        <v>854</v>
      </c>
    </row>
    <row r="496" spans="1:12" x14ac:dyDescent="0.25">
      <c r="A496">
        <v>496</v>
      </c>
      <c r="B496" t="s">
        <v>855</v>
      </c>
      <c r="C496" t="s">
        <v>46</v>
      </c>
      <c r="D496" t="s">
        <v>397</v>
      </c>
      <c r="E496" s="2">
        <v>2900000</v>
      </c>
      <c r="F496" s="3">
        <v>886.84109999999998</v>
      </c>
      <c r="G496" t="s">
        <v>87</v>
      </c>
      <c r="H496">
        <v>6</v>
      </c>
      <c r="I496">
        <v>2</v>
      </c>
      <c r="J496">
        <v>2015</v>
      </c>
      <c r="K496">
        <v>1</v>
      </c>
      <c r="L496" t="s">
        <v>47</v>
      </c>
    </row>
    <row r="497" spans="1:12" x14ac:dyDescent="0.25">
      <c r="A497">
        <v>497</v>
      </c>
      <c r="B497" t="s">
        <v>856</v>
      </c>
      <c r="C497" t="s">
        <v>56</v>
      </c>
      <c r="D497" t="s">
        <v>1057</v>
      </c>
      <c r="E497" s="2">
        <v>21300000</v>
      </c>
      <c r="F497" s="3">
        <v>871.3972</v>
      </c>
      <c r="G497" t="s">
        <v>152</v>
      </c>
      <c r="H497">
        <v>97</v>
      </c>
      <c r="I497">
        <v>10</v>
      </c>
      <c r="J497">
        <v>2013</v>
      </c>
      <c r="K497">
        <v>3</v>
      </c>
      <c r="L497" t="s">
        <v>57</v>
      </c>
    </row>
    <row r="498" spans="1:12" x14ac:dyDescent="0.25">
      <c r="A498">
        <v>498</v>
      </c>
      <c r="B498" t="s">
        <v>857</v>
      </c>
      <c r="C498" t="s">
        <v>31</v>
      </c>
      <c r="D498" t="s">
        <v>1054</v>
      </c>
      <c r="E498" s="2">
        <v>5100000</v>
      </c>
      <c r="F498" s="3">
        <v>870.54570000000001</v>
      </c>
      <c r="G498" t="s">
        <v>134</v>
      </c>
      <c r="H498">
        <v>28</v>
      </c>
      <c r="I498">
        <v>2</v>
      </c>
      <c r="J498">
        <v>2010</v>
      </c>
      <c r="K498">
        <v>1</v>
      </c>
      <c r="L498" t="s">
        <v>858</v>
      </c>
    </row>
    <row r="499" spans="1:12" x14ac:dyDescent="0.25">
      <c r="A499">
        <v>499</v>
      </c>
      <c r="B499" t="s">
        <v>859</v>
      </c>
      <c r="C499" t="s">
        <v>11</v>
      </c>
      <c r="D499" t="s">
        <v>1050</v>
      </c>
      <c r="E499" s="2">
        <v>4900000</v>
      </c>
      <c r="F499" s="3">
        <v>870.47739999999999</v>
      </c>
      <c r="G499" t="s">
        <v>32</v>
      </c>
      <c r="H499">
        <v>15</v>
      </c>
      <c r="I499">
        <v>2</v>
      </c>
      <c r="J499">
        <v>2010</v>
      </c>
      <c r="K499">
        <v>1</v>
      </c>
      <c r="L499" t="s">
        <v>116</v>
      </c>
    </row>
    <row r="500" spans="1:12" x14ac:dyDescent="0.25">
      <c r="A500">
        <v>500</v>
      </c>
      <c r="B500" t="s">
        <v>860</v>
      </c>
      <c r="C500" t="s">
        <v>50</v>
      </c>
      <c r="D500" t="s">
        <v>52</v>
      </c>
      <c r="E500" s="2">
        <v>8000000</v>
      </c>
      <c r="F500" s="3">
        <v>869.74900000000002</v>
      </c>
      <c r="G500" t="s">
        <v>51</v>
      </c>
      <c r="H500">
        <v>70</v>
      </c>
      <c r="I500">
        <v>45</v>
      </c>
      <c r="J500">
        <v>2003</v>
      </c>
      <c r="K500">
        <v>1</v>
      </c>
      <c r="L500" t="s">
        <v>52</v>
      </c>
    </row>
    <row r="501" spans="1:12" x14ac:dyDescent="0.25">
      <c r="A501">
        <v>501</v>
      </c>
      <c r="B501" t="s">
        <v>861</v>
      </c>
      <c r="C501" t="s">
        <v>19</v>
      </c>
      <c r="D501" t="s">
        <v>1052</v>
      </c>
      <c r="E501" s="2">
        <v>12300000</v>
      </c>
      <c r="F501" s="3">
        <v>868.61</v>
      </c>
      <c r="G501" t="s">
        <v>32</v>
      </c>
      <c r="H501">
        <v>45</v>
      </c>
      <c r="I501">
        <v>6</v>
      </c>
      <c r="J501">
        <v>2005</v>
      </c>
      <c r="K501">
        <v>1</v>
      </c>
      <c r="L501" t="s">
        <v>862</v>
      </c>
    </row>
    <row r="502" spans="1:12" x14ac:dyDescent="0.25">
      <c r="A502">
        <v>502</v>
      </c>
      <c r="B502" t="s">
        <v>863</v>
      </c>
      <c r="C502" t="s">
        <v>38</v>
      </c>
      <c r="D502" t="s">
        <v>1013</v>
      </c>
      <c r="E502" s="2">
        <v>4700000</v>
      </c>
      <c r="F502" s="3">
        <v>868.2749</v>
      </c>
      <c r="G502" t="s">
        <v>24</v>
      </c>
      <c r="H502">
        <v>40</v>
      </c>
      <c r="I502">
        <v>3</v>
      </c>
      <c r="J502">
        <v>2014</v>
      </c>
      <c r="K502">
        <v>1</v>
      </c>
      <c r="L502" t="s">
        <v>76</v>
      </c>
    </row>
    <row r="503" spans="1:12" x14ac:dyDescent="0.25">
      <c r="A503">
        <v>503</v>
      </c>
      <c r="B503" t="s">
        <v>864</v>
      </c>
      <c r="C503" t="s">
        <v>104</v>
      </c>
      <c r="D503" t="s">
        <v>1063</v>
      </c>
      <c r="E503" s="2">
        <v>3500000</v>
      </c>
      <c r="F503" s="3">
        <v>865.79769999999996</v>
      </c>
      <c r="G503" t="s">
        <v>73</v>
      </c>
      <c r="H503">
        <v>11</v>
      </c>
      <c r="I503">
        <v>3</v>
      </c>
      <c r="J503">
        <v>2008</v>
      </c>
      <c r="K503">
        <v>1</v>
      </c>
      <c r="L503" t="s">
        <v>865</v>
      </c>
    </row>
    <row r="504" spans="1:12" x14ac:dyDescent="0.25">
      <c r="A504">
        <v>504</v>
      </c>
      <c r="B504" t="s">
        <v>866</v>
      </c>
      <c r="C504" t="s">
        <v>626</v>
      </c>
      <c r="D504" t="s">
        <v>1081</v>
      </c>
      <c r="E504" s="2">
        <v>8500000</v>
      </c>
      <c r="F504" s="3">
        <v>864.79470000000003</v>
      </c>
      <c r="G504" t="s">
        <v>3</v>
      </c>
      <c r="H504">
        <v>30</v>
      </c>
      <c r="I504">
        <v>10</v>
      </c>
      <c r="J504">
        <v>2015</v>
      </c>
      <c r="K504">
        <v>1</v>
      </c>
      <c r="L504" t="s">
        <v>627</v>
      </c>
    </row>
    <row r="505" spans="1:12" x14ac:dyDescent="0.25">
      <c r="A505">
        <v>505</v>
      </c>
      <c r="B505" t="s">
        <v>867</v>
      </c>
      <c r="C505" t="s">
        <v>133</v>
      </c>
      <c r="D505" t="s">
        <v>1066</v>
      </c>
      <c r="E505" s="2">
        <v>18100000</v>
      </c>
      <c r="F505" s="3">
        <v>864.29809999999998</v>
      </c>
      <c r="G505" t="s">
        <v>20</v>
      </c>
      <c r="H505">
        <v>30</v>
      </c>
      <c r="I505">
        <v>2</v>
      </c>
      <c r="J505">
        <v>2008</v>
      </c>
      <c r="K505">
        <v>3</v>
      </c>
      <c r="L505" t="s">
        <v>868</v>
      </c>
    </row>
    <row r="506" spans="1:12" x14ac:dyDescent="0.25">
      <c r="A506">
        <v>506</v>
      </c>
      <c r="B506" t="s">
        <v>869</v>
      </c>
      <c r="C506" t="s">
        <v>38</v>
      </c>
      <c r="D506" t="s">
        <v>1013</v>
      </c>
      <c r="E506" s="2">
        <v>9000000</v>
      </c>
      <c r="F506" s="3">
        <v>863.23569999999995</v>
      </c>
      <c r="G506" t="s">
        <v>24</v>
      </c>
      <c r="H506">
        <v>150</v>
      </c>
      <c r="I506">
        <v>25</v>
      </c>
      <c r="J506">
        <v>2007</v>
      </c>
      <c r="K506">
        <v>3</v>
      </c>
      <c r="L506" t="s">
        <v>870</v>
      </c>
    </row>
    <row r="507" spans="1:12" x14ac:dyDescent="0.25">
      <c r="A507">
        <v>507</v>
      </c>
      <c r="B507" t="s">
        <v>871</v>
      </c>
      <c r="C507" t="s">
        <v>19</v>
      </c>
      <c r="D507" t="s">
        <v>1052</v>
      </c>
      <c r="E507" s="2">
        <v>10700000</v>
      </c>
      <c r="F507" s="3">
        <v>861.24959999999999</v>
      </c>
      <c r="G507" t="s">
        <v>97</v>
      </c>
      <c r="H507">
        <v>54</v>
      </c>
      <c r="I507">
        <v>1</v>
      </c>
      <c r="J507">
        <v>2011</v>
      </c>
      <c r="K507">
        <v>3</v>
      </c>
      <c r="L507" t="s">
        <v>872</v>
      </c>
    </row>
    <row r="508" spans="1:12" x14ac:dyDescent="0.25">
      <c r="A508">
        <v>508</v>
      </c>
      <c r="B508" t="s">
        <v>873</v>
      </c>
      <c r="C508" t="s">
        <v>41</v>
      </c>
      <c r="D508" t="s">
        <v>1056</v>
      </c>
      <c r="E508" s="2">
        <v>84300000</v>
      </c>
      <c r="F508" s="3">
        <v>857.53120000000001</v>
      </c>
      <c r="G508" t="s">
        <v>119</v>
      </c>
      <c r="H508">
        <v>440</v>
      </c>
      <c r="I508">
        <v>190</v>
      </c>
      <c r="J508">
        <v>2006</v>
      </c>
      <c r="K508">
        <v>2</v>
      </c>
      <c r="L508" t="s">
        <v>874</v>
      </c>
    </row>
    <row r="509" spans="1:12" x14ac:dyDescent="0.25">
      <c r="A509">
        <v>509</v>
      </c>
      <c r="B509" t="s">
        <v>875</v>
      </c>
      <c r="C509" t="s">
        <v>543</v>
      </c>
      <c r="D509" t="s">
        <v>1012</v>
      </c>
      <c r="E509" s="2">
        <v>10300000</v>
      </c>
      <c r="F509" s="3">
        <v>856.82780000000002</v>
      </c>
      <c r="G509" t="s">
        <v>97</v>
      </c>
      <c r="H509">
        <v>75</v>
      </c>
      <c r="I509">
        <v>6</v>
      </c>
      <c r="J509">
        <v>2015</v>
      </c>
      <c r="K509">
        <v>1</v>
      </c>
      <c r="L509" t="s">
        <v>876</v>
      </c>
    </row>
    <row r="510" spans="1:12" x14ac:dyDescent="0.25">
      <c r="A510">
        <v>510</v>
      </c>
      <c r="B510" t="s">
        <v>877</v>
      </c>
      <c r="C510" t="s">
        <v>219</v>
      </c>
      <c r="D510" t="s">
        <v>1071</v>
      </c>
      <c r="E510" s="2">
        <v>2100000</v>
      </c>
      <c r="F510" s="3">
        <v>855.36649999999997</v>
      </c>
      <c r="G510" t="s">
        <v>152</v>
      </c>
      <c r="H510">
        <v>12</v>
      </c>
      <c r="I510">
        <v>4</v>
      </c>
      <c r="J510">
        <v>2011</v>
      </c>
      <c r="K510">
        <v>1</v>
      </c>
      <c r="L510" t="s">
        <v>878</v>
      </c>
    </row>
    <row r="511" spans="1:12" x14ac:dyDescent="0.25">
      <c r="A511">
        <v>511</v>
      </c>
      <c r="B511" t="s">
        <v>879</v>
      </c>
      <c r="C511" t="s">
        <v>27</v>
      </c>
      <c r="D511" t="s">
        <v>1053</v>
      </c>
      <c r="E511" s="2">
        <v>16200000</v>
      </c>
      <c r="F511" s="3">
        <v>854.55550000000005</v>
      </c>
      <c r="G511" t="s">
        <v>24</v>
      </c>
      <c r="H511">
        <v>80</v>
      </c>
      <c r="I511">
        <v>25</v>
      </c>
      <c r="J511">
        <v>2014</v>
      </c>
      <c r="K511">
        <v>1</v>
      </c>
      <c r="L511" t="s">
        <v>429</v>
      </c>
    </row>
    <row r="512" spans="1:12" x14ac:dyDescent="0.25">
      <c r="A512">
        <v>512</v>
      </c>
      <c r="B512" t="s">
        <v>880</v>
      </c>
      <c r="C512" t="s">
        <v>46</v>
      </c>
      <c r="D512" t="s">
        <v>397</v>
      </c>
      <c r="E512" s="2">
        <v>27200000</v>
      </c>
      <c r="F512" s="3">
        <v>854.08439999999996</v>
      </c>
      <c r="G512" t="s">
        <v>87</v>
      </c>
      <c r="H512">
        <v>738</v>
      </c>
      <c r="I512">
        <v>125</v>
      </c>
      <c r="J512">
        <v>2005</v>
      </c>
      <c r="K512">
        <v>4</v>
      </c>
      <c r="L512" t="s">
        <v>881</v>
      </c>
    </row>
    <row r="513" spans="1:12" x14ac:dyDescent="0.25">
      <c r="A513">
        <v>513</v>
      </c>
      <c r="B513" t="s">
        <v>882</v>
      </c>
      <c r="C513" t="s">
        <v>219</v>
      </c>
      <c r="D513" t="s">
        <v>1071</v>
      </c>
      <c r="E513" s="2">
        <v>2200000</v>
      </c>
      <c r="F513" s="3">
        <v>852.85599999999999</v>
      </c>
      <c r="G513" t="s">
        <v>16</v>
      </c>
      <c r="H513">
        <v>9</v>
      </c>
      <c r="I513">
        <v>1</v>
      </c>
      <c r="J513">
        <v>2013</v>
      </c>
      <c r="K513">
        <v>1</v>
      </c>
      <c r="L513" t="s">
        <v>220</v>
      </c>
    </row>
    <row r="514" spans="1:12" x14ac:dyDescent="0.25">
      <c r="A514">
        <v>514</v>
      </c>
      <c r="B514" t="s">
        <v>883</v>
      </c>
      <c r="C514" t="s">
        <v>38</v>
      </c>
      <c r="D514" t="s">
        <v>1013</v>
      </c>
      <c r="E514" s="2">
        <v>2400000</v>
      </c>
      <c r="F514" s="3">
        <v>852.23490000000004</v>
      </c>
      <c r="G514" t="s">
        <v>73</v>
      </c>
      <c r="H514">
        <v>16</v>
      </c>
      <c r="I514">
        <v>2</v>
      </c>
      <c r="J514">
        <v>2014</v>
      </c>
      <c r="K514">
        <v>1</v>
      </c>
      <c r="L514" t="s">
        <v>63</v>
      </c>
    </row>
    <row r="515" spans="1:12" x14ac:dyDescent="0.25">
      <c r="A515">
        <v>515</v>
      </c>
      <c r="B515" t="s">
        <v>884</v>
      </c>
      <c r="C515" t="s">
        <v>396</v>
      </c>
      <c r="D515" t="s">
        <v>1078</v>
      </c>
      <c r="E515" s="2">
        <v>8700000</v>
      </c>
      <c r="F515" s="3">
        <v>850.24220000000003</v>
      </c>
      <c r="G515" t="s">
        <v>84</v>
      </c>
      <c r="H515">
        <v>68</v>
      </c>
      <c r="I515">
        <v>15</v>
      </c>
      <c r="J515">
        <v>2011</v>
      </c>
      <c r="K515">
        <v>1</v>
      </c>
      <c r="L515" t="s">
        <v>397</v>
      </c>
    </row>
    <row r="516" spans="1:12" x14ac:dyDescent="0.25">
      <c r="A516">
        <v>516</v>
      </c>
      <c r="B516" t="s">
        <v>885</v>
      </c>
      <c r="C516" t="s">
        <v>31</v>
      </c>
      <c r="D516" t="s">
        <v>1054</v>
      </c>
      <c r="E516" s="2">
        <v>6100000</v>
      </c>
      <c r="F516" s="3">
        <v>850.19889999999998</v>
      </c>
      <c r="G516" t="s">
        <v>152</v>
      </c>
      <c r="H516">
        <v>30</v>
      </c>
      <c r="I516">
        <v>3</v>
      </c>
      <c r="J516">
        <v>2012</v>
      </c>
      <c r="K516">
        <v>1</v>
      </c>
      <c r="L516" t="s">
        <v>760</v>
      </c>
    </row>
    <row r="517" spans="1:12" x14ac:dyDescent="0.25">
      <c r="A517">
        <v>517</v>
      </c>
      <c r="B517" t="s">
        <v>886</v>
      </c>
      <c r="C517" t="s">
        <v>11</v>
      </c>
      <c r="D517" t="s">
        <v>1050</v>
      </c>
      <c r="E517" s="2">
        <v>16300000</v>
      </c>
      <c r="F517" s="3">
        <v>847.94529999999997</v>
      </c>
      <c r="G517" t="s">
        <v>108</v>
      </c>
      <c r="H517">
        <v>23</v>
      </c>
      <c r="I517">
        <v>6</v>
      </c>
      <c r="J517">
        <v>2009</v>
      </c>
      <c r="K517">
        <v>3</v>
      </c>
      <c r="L517" t="s">
        <v>691</v>
      </c>
    </row>
    <row r="518" spans="1:12" x14ac:dyDescent="0.25">
      <c r="A518">
        <v>518</v>
      </c>
      <c r="B518" t="s">
        <v>887</v>
      </c>
      <c r="C518" t="s">
        <v>31</v>
      </c>
      <c r="D518" t="s">
        <v>1054</v>
      </c>
      <c r="E518" s="2">
        <v>3800000</v>
      </c>
      <c r="F518" s="3">
        <v>845.46169999999995</v>
      </c>
      <c r="G518" t="s">
        <v>16</v>
      </c>
      <c r="H518">
        <v>15</v>
      </c>
      <c r="I518">
        <v>4</v>
      </c>
      <c r="J518">
        <v>2015</v>
      </c>
      <c r="K518">
        <v>1</v>
      </c>
      <c r="L518" t="s">
        <v>888</v>
      </c>
    </row>
    <row r="519" spans="1:12" x14ac:dyDescent="0.25">
      <c r="A519">
        <v>519</v>
      </c>
      <c r="B519" t="s">
        <v>889</v>
      </c>
      <c r="C519" t="s">
        <v>113</v>
      </c>
      <c r="D519" t="s">
        <v>1065</v>
      </c>
      <c r="E519" s="2">
        <v>12600000</v>
      </c>
      <c r="F519" s="3">
        <v>844.43320000000006</v>
      </c>
      <c r="G519" t="s">
        <v>84</v>
      </c>
      <c r="H519">
        <v>91</v>
      </c>
      <c r="I519">
        <v>5</v>
      </c>
      <c r="J519">
        <v>2005</v>
      </c>
      <c r="K519">
        <v>2</v>
      </c>
      <c r="L519" t="s">
        <v>890</v>
      </c>
    </row>
    <row r="520" spans="1:12" x14ac:dyDescent="0.25">
      <c r="A520">
        <v>520</v>
      </c>
      <c r="B520" t="s">
        <v>891</v>
      </c>
      <c r="C520" t="s">
        <v>350</v>
      </c>
      <c r="D520" t="s">
        <v>1076</v>
      </c>
      <c r="E520" s="2">
        <v>9700000</v>
      </c>
      <c r="F520" s="3">
        <v>843.09760000000006</v>
      </c>
      <c r="G520" t="s">
        <v>7</v>
      </c>
      <c r="H520">
        <v>60</v>
      </c>
      <c r="I520">
        <v>5</v>
      </c>
      <c r="J520">
        <v>2014</v>
      </c>
      <c r="K520">
        <v>1</v>
      </c>
      <c r="L520" t="s">
        <v>892</v>
      </c>
    </row>
    <row r="521" spans="1:12" x14ac:dyDescent="0.25">
      <c r="A521">
        <v>521</v>
      </c>
      <c r="B521" t="s">
        <v>893</v>
      </c>
      <c r="C521" t="s">
        <v>11</v>
      </c>
      <c r="D521" t="s">
        <v>1050</v>
      </c>
      <c r="E521" s="2">
        <v>21300000</v>
      </c>
      <c r="F521" s="3">
        <v>842.39049999999997</v>
      </c>
      <c r="G521" t="s">
        <v>261</v>
      </c>
      <c r="H521">
        <v>107</v>
      </c>
      <c r="I521">
        <v>9</v>
      </c>
      <c r="J521">
        <v>2012</v>
      </c>
      <c r="K521">
        <v>3</v>
      </c>
      <c r="L521" t="s">
        <v>894</v>
      </c>
    </row>
    <row r="522" spans="1:12" x14ac:dyDescent="0.25">
      <c r="A522">
        <v>522</v>
      </c>
      <c r="B522" t="s">
        <v>895</v>
      </c>
      <c r="C522" t="s">
        <v>2</v>
      </c>
      <c r="D522" t="s">
        <v>1048</v>
      </c>
      <c r="E522" s="2">
        <v>6600000</v>
      </c>
      <c r="F522" s="3">
        <v>837.09010000000001</v>
      </c>
      <c r="G522" t="s">
        <v>97</v>
      </c>
      <c r="H522">
        <v>12</v>
      </c>
      <c r="I522">
        <v>3</v>
      </c>
      <c r="J522">
        <v>2012</v>
      </c>
      <c r="K522">
        <v>2</v>
      </c>
      <c r="L522" t="s">
        <v>896</v>
      </c>
    </row>
    <row r="523" spans="1:12" x14ac:dyDescent="0.25">
      <c r="A523">
        <v>523</v>
      </c>
      <c r="B523" t="s">
        <v>897</v>
      </c>
      <c r="C523" t="s">
        <v>155</v>
      </c>
      <c r="D523" t="s">
        <v>1068</v>
      </c>
      <c r="E523" s="2">
        <v>2500000</v>
      </c>
      <c r="F523" s="3">
        <v>836.24120000000005</v>
      </c>
      <c r="G523" t="s">
        <v>84</v>
      </c>
      <c r="H523">
        <v>51</v>
      </c>
      <c r="I523">
        <v>8</v>
      </c>
      <c r="J523">
        <v>2013</v>
      </c>
      <c r="K523">
        <v>1</v>
      </c>
      <c r="L523" t="s">
        <v>898</v>
      </c>
    </row>
    <row r="524" spans="1:12" x14ac:dyDescent="0.25">
      <c r="A524">
        <v>524</v>
      </c>
      <c r="B524" t="s">
        <v>899</v>
      </c>
      <c r="C524" t="s">
        <v>50</v>
      </c>
      <c r="D524" t="s">
        <v>52</v>
      </c>
      <c r="E524" s="2">
        <v>17500000</v>
      </c>
      <c r="F524" s="3">
        <v>833.85770000000002</v>
      </c>
      <c r="G524" t="s">
        <v>24</v>
      </c>
      <c r="H524">
        <v>27</v>
      </c>
      <c r="I524">
        <v>6</v>
      </c>
      <c r="J524">
        <v>2015</v>
      </c>
      <c r="K524">
        <v>1</v>
      </c>
      <c r="L524" t="s">
        <v>900</v>
      </c>
    </row>
    <row r="525" spans="1:12" x14ac:dyDescent="0.25">
      <c r="A525">
        <v>525</v>
      </c>
      <c r="B525" t="s">
        <v>901</v>
      </c>
      <c r="C525" t="s">
        <v>100</v>
      </c>
      <c r="D525" t="s">
        <v>1062</v>
      </c>
      <c r="E525" s="2">
        <v>492500000</v>
      </c>
      <c r="F525" s="3">
        <v>831.31809999999996</v>
      </c>
      <c r="G525" t="s">
        <v>84</v>
      </c>
      <c r="H525">
        <v>37</v>
      </c>
      <c r="I525">
        <v>80</v>
      </c>
      <c r="J525">
        <v>2001</v>
      </c>
      <c r="K525">
        <v>2</v>
      </c>
      <c r="L525" t="s">
        <v>902</v>
      </c>
    </row>
    <row r="526" spans="1:12" x14ac:dyDescent="0.25">
      <c r="A526">
        <v>526</v>
      </c>
      <c r="B526" t="s">
        <v>903</v>
      </c>
      <c r="C526" t="s">
        <v>50</v>
      </c>
      <c r="D526" t="s">
        <v>52</v>
      </c>
      <c r="E526" s="2">
        <v>6000000</v>
      </c>
      <c r="F526" s="3">
        <v>829.62040000000002</v>
      </c>
      <c r="G526" t="s">
        <v>3</v>
      </c>
      <c r="H526">
        <v>149</v>
      </c>
      <c r="I526">
        <v>28</v>
      </c>
      <c r="J526">
        <v>2013</v>
      </c>
      <c r="K526">
        <v>1</v>
      </c>
      <c r="L526" t="s">
        <v>52</v>
      </c>
    </row>
    <row r="527" spans="1:12" x14ac:dyDescent="0.25">
      <c r="A527">
        <v>527</v>
      </c>
      <c r="B527" t="s">
        <v>904</v>
      </c>
      <c r="C527" t="s">
        <v>38</v>
      </c>
      <c r="D527" t="s">
        <v>1013</v>
      </c>
      <c r="E527" s="2">
        <v>4500000</v>
      </c>
      <c r="F527" s="3">
        <v>828.26499999999999</v>
      </c>
      <c r="G527" t="s">
        <v>16</v>
      </c>
      <c r="H527">
        <v>30</v>
      </c>
      <c r="I527">
        <v>4</v>
      </c>
      <c r="J527">
        <v>2011</v>
      </c>
      <c r="K527">
        <v>1</v>
      </c>
      <c r="L527" t="s">
        <v>63</v>
      </c>
    </row>
    <row r="528" spans="1:12" x14ac:dyDescent="0.25">
      <c r="A528">
        <v>528</v>
      </c>
      <c r="B528" t="s">
        <v>905</v>
      </c>
      <c r="C528" t="s">
        <v>50</v>
      </c>
      <c r="D528" t="s">
        <v>52</v>
      </c>
      <c r="E528" s="2">
        <v>9500000</v>
      </c>
      <c r="F528" s="3">
        <v>828.03150000000005</v>
      </c>
      <c r="G528" t="s">
        <v>73</v>
      </c>
      <c r="H528">
        <v>29</v>
      </c>
      <c r="I528">
        <v>3</v>
      </c>
      <c r="J528">
        <v>2009</v>
      </c>
      <c r="K528">
        <v>2</v>
      </c>
      <c r="L528" t="s">
        <v>361</v>
      </c>
    </row>
    <row r="529" spans="1:12" x14ac:dyDescent="0.25">
      <c r="A529">
        <v>529</v>
      </c>
      <c r="B529" t="s">
        <v>906</v>
      </c>
      <c r="C529" t="s">
        <v>350</v>
      </c>
      <c r="D529" t="s">
        <v>1076</v>
      </c>
      <c r="E529" s="2">
        <v>4800000</v>
      </c>
      <c r="F529" s="3">
        <v>827.66499999999996</v>
      </c>
      <c r="G529" t="s">
        <v>16</v>
      </c>
      <c r="H529">
        <v>36</v>
      </c>
      <c r="I529">
        <v>5</v>
      </c>
      <c r="J529">
        <v>2014</v>
      </c>
      <c r="K529">
        <v>2</v>
      </c>
      <c r="L529" t="s">
        <v>907</v>
      </c>
    </row>
    <row r="530" spans="1:12" x14ac:dyDescent="0.25">
      <c r="A530">
        <v>530</v>
      </c>
      <c r="B530" t="s">
        <v>908</v>
      </c>
      <c r="C530" t="s">
        <v>11</v>
      </c>
      <c r="D530" t="s">
        <v>1050</v>
      </c>
      <c r="E530" s="2">
        <v>3000000</v>
      </c>
      <c r="F530" s="3">
        <v>825.99469999999997</v>
      </c>
      <c r="G530" t="s">
        <v>119</v>
      </c>
      <c r="H530">
        <v>27</v>
      </c>
      <c r="I530">
        <v>3</v>
      </c>
      <c r="J530">
        <v>2012</v>
      </c>
      <c r="K530">
        <v>1</v>
      </c>
      <c r="L530" t="s">
        <v>718</v>
      </c>
    </row>
    <row r="531" spans="1:12" x14ac:dyDescent="0.25">
      <c r="A531">
        <v>531</v>
      </c>
      <c r="B531" t="s">
        <v>909</v>
      </c>
      <c r="C531" t="s">
        <v>31</v>
      </c>
      <c r="D531" t="s">
        <v>1054</v>
      </c>
      <c r="E531" s="2">
        <v>2200000</v>
      </c>
      <c r="F531" s="3">
        <v>823.92949999999996</v>
      </c>
      <c r="G531" t="s">
        <v>20</v>
      </c>
      <c r="H531">
        <v>12</v>
      </c>
      <c r="I531">
        <v>2</v>
      </c>
      <c r="J531">
        <v>2014</v>
      </c>
      <c r="K531">
        <v>1</v>
      </c>
      <c r="L531" t="s">
        <v>910</v>
      </c>
    </row>
    <row r="532" spans="1:12" x14ac:dyDescent="0.25">
      <c r="A532">
        <v>532</v>
      </c>
      <c r="B532" t="s">
        <v>911</v>
      </c>
      <c r="C532" t="s">
        <v>38</v>
      </c>
      <c r="D532" t="s">
        <v>1013</v>
      </c>
      <c r="E532" s="2">
        <v>4500000</v>
      </c>
      <c r="F532" s="3">
        <v>819.83360000000005</v>
      </c>
      <c r="G532" t="s">
        <v>12</v>
      </c>
      <c r="H532">
        <v>10</v>
      </c>
      <c r="I532">
        <v>2</v>
      </c>
      <c r="J532">
        <v>2014</v>
      </c>
      <c r="K532">
        <v>2</v>
      </c>
      <c r="L532" t="s">
        <v>175</v>
      </c>
    </row>
    <row r="533" spans="1:12" x14ac:dyDescent="0.25">
      <c r="A533">
        <v>533</v>
      </c>
      <c r="B533" t="s">
        <v>912</v>
      </c>
      <c r="C533" t="s">
        <v>41</v>
      </c>
      <c r="D533" t="s">
        <v>1056</v>
      </c>
      <c r="E533" s="2">
        <v>15300000</v>
      </c>
      <c r="F533" s="3">
        <v>818.43129999999996</v>
      </c>
      <c r="G533" t="s">
        <v>24</v>
      </c>
      <c r="H533">
        <v>250</v>
      </c>
      <c r="I533">
        <v>35</v>
      </c>
      <c r="J533">
        <v>2004</v>
      </c>
      <c r="K533">
        <v>3</v>
      </c>
      <c r="L533" t="s">
        <v>913</v>
      </c>
    </row>
    <row r="534" spans="1:12" x14ac:dyDescent="0.25">
      <c r="A534">
        <v>534</v>
      </c>
      <c r="B534" t="s">
        <v>914</v>
      </c>
      <c r="C534" t="s">
        <v>38</v>
      </c>
      <c r="D534" t="s">
        <v>1013</v>
      </c>
      <c r="E534" s="2">
        <v>2900000</v>
      </c>
      <c r="F534" s="3">
        <v>817.2645</v>
      </c>
      <c r="G534" t="s">
        <v>73</v>
      </c>
      <c r="H534">
        <v>20</v>
      </c>
      <c r="I534">
        <v>46</v>
      </c>
      <c r="J534">
        <v>2012</v>
      </c>
      <c r="K534">
        <v>2</v>
      </c>
      <c r="L534" t="s">
        <v>217</v>
      </c>
    </row>
    <row r="535" spans="1:12" x14ac:dyDescent="0.25">
      <c r="A535">
        <v>535</v>
      </c>
      <c r="B535" t="s">
        <v>915</v>
      </c>
      <c r="C535" t="s">
        <v>56</v>
      </c>
      <c r="D535" t="s">
        <v>1057</v>
      </c>
      <c r="E535" s="2">
        <v>7900000</v>
      </c>
      <c r="F535" s="3">
        <v>816.74850000000004</v>
      </c>
      <c r="G535" t="s">
        <v>16</v>
      </c>
      <c r="H535">
        <v>25</v>
      </c>
      <c r="I535">
        <v>5</v>
      </c>
      <c r="J535">
        <v>2013</v>
      </c>
      <c r="K535">
        <v>2</v>
      </c>
      <c r="L535" t="s">
        <v>57</v>
      </c>
    </row>
    <row r="536" spans="1:12" x14ac:dyDescent="0.25">
      <c r="A536">
        <v>536</v>
      </c>
      <c r="B536" t="s">
        <v>916</v>
      </c>
      <c r="C536" t="s">
        <v>35</v>
      </c>
      <c r="D536" t="s">
        <v>1055</v>
      </c>
      <c r="E536" s="2">
        <v>53500000</v>
      </c>
      <c r="F536" s="3">
        <v>816.45439999999996</v>
      </c>
      <c r="G536" t="s">
        <v>152</v>
      </c>
      <c r="H536">
        <v>33</v>
      </c>
      <c r="I536">
        <v>9</v>
      </c>
      <c r="J536">
        <v>2013</v>
      </c>
      <c r="K536">
        <v>2</v>
      </c>
      <c r="L536" t="s">
        <v>917</v>
      </c>
    </row>
    <row r="537" spans="1:12" x14ac:dyDescent="0.25">
      <c r="A537">
        <v>537</v>
      </c>
      <c r="B537" t="s">
        <v>918</v>
      </c>
      <c r="C537" t="s">
        <v>38</v>
      </c>
      <c r="D537" t="s">
        <v>1013</v>
      </c>
      <c r="E537" s="2">
        <v>13600000</v>
      </c>
      <c r="F537" s="3">
        <v>816.39229999999998</v>
      </c>
      <c r="G537" t="s">
        <v>7</v>
      </c>
      <c r="H537">
        <v>39</v>
      </c>
      <c r="I537">
        <v>11</v>
      </c>
      <c r="J537">
        <v>2013</v>
      </c>
      <c r="K537">
        <v>1</v>
      </c>
      <c r="L537" t="s">
        <v>364</v>
      </c>
    </row>
    <row r="538" spans="1:12" x14ac:dyDescent="0.25">
      <c r="A538">
        <v>538</v>
      </c>
      <c r="B538" t="s">
        <v>919</v>
      </c>
      <c r="C538" t="s">
        <v>56</v>
      </c>
      <c r="D538" t="s">
        <v>1057</v>
      </c>
      <c r="E538" s="2">
        <v>19000000</v>
      </c>
      <c r="F538" s="3">
        <v>815.70219999999995</v>
      </c>
      <c r="G538" t="s">
        <v>84</v>
      </c>
      <c r="H538">
        <v>210</v>
      </c>
      <c r="I538">
        <v>20</v>
      </c>
      <c r="J538">
        <v>2014</v>
      </c>
      <c r="K538">
        <v>1</v>
      </c>
      <c r="L538" t="s">
        <v>57</v>
      </c>
    </row>
    <row r="539" spans="1:12" x14ac:dyDescent="0.25">
      <c r="A539">
        <v>539</v>
      </c>
      <c r="B539" t="s">
        <v>920</v>
      </c>
      <c r="C539" t="s">
        <v>312</v>
      </c>
      <c r="D539" t="s">
        <v>1073</v>
      </c>
      <c r="E539" s="2">
        <v>4700000</v>
      </c>
      <c r="F539" s="3">
        <v>815.15150000000006</v>
      </c>
      <c r="G539" t="s">
        <v>134</v>
      </c>
      <c r="H539">
        <v>13</v>
      </c>
      <c r="I539">
        <v>3</v>
      </c>
      <c r="J539">
        <v>2014</v>
      </c>
      <c r="K539">
        <v>1</v>
      </c>
      <c r="L539" t="s">
        <v>921</v>
      </c>
    </row>
    <row r="540" spans="1:12" x14ac:dyDescent="0.25">
      <c r="A540">
        <v>540</v>
      </c>
      <c r="B540" t="s">
        <v>922</v>
      </c>
      <c r="C540" t="s">
        <v>712</v>
      </c>
      <c r="D540" t="s">
        <v>1082</v>
      </c>
      <c r="E540" s="2">
        <v>2400000</v>
      </c>
      <c r="F540" s="3">
        <v>814.31399999999996</v>
      </c>
      <c r="G540" t="s">
        <v>152</v>
      </c>
      <c r="H540">
        <v>18</v>
      </c>
      <c r="I540">
        <v>7</v>
      </c>
      <c r="J540">
        <v>2010</v>
      </c>
      <c r="K540">
        <v>1</v>
      </c>
      <c r="L540" t="s">
        <v>923</v>
      </c>
    </row>
    <row r="541" spans="1:12" x14ac:dyDescent="0.25">
      <c r="A541">
        <v>541</v>
      </c>
      <c r="B541" t="s">
        <v>924</v>
      </c>
      <c r="C541" t="s">
        <v>107</v>
      </c>
      <c r="D541" t="s">
        <v>1064</v>
      </c>
      <c r="E541" s="2">
        <v>8100000</v>
      </c>
      <c r="F541" s="3">
        <v>813.06470000000002</v>
      </c>
      <c r="G541" t="s">
        <v>84</v>
      </c>
      <c r="H541">
        <v>13</v>
      </c>
      <c r="I541">
        <v>5</v>
      </c>
      <c r="J541">
        <v>2009</v>
      </c>
      <c r="K541">
        <v>2</v>
      </c>
      <c r="L541" t="s">
        <v>925</v>
      </c>
    </row>
    <row r="542" spans="1:12" x14ac:dyDescent="0.25">
      <c r="A542">
        <v>542</v>
      </c>
      <c r="B542" t="s">
        <v>926</v>
      </c>
      <c r="C542" t="s">
        <v>350</v>
      </c>
      <c r="D542" t="s">
        <v>1076</v>
      </c>
      <c r="E542" s="2">
        <v>2000000</v>
      </c>
      <c r="F542" s="3">
        <v>812.00609999999995</v>
      </c>
      <c r="G542" t="s">
        <v>3</v>
      </c>
      <c r="H542">
        <v>15</v>
      </c>
      <c r="I542">
        <v>1</v>
      </c>
      <c r="J542">
        <v>2015</v>
      </c>
      <c r="K542">
        <v>1</v>
      </c>
      <c r="L542" t="s">
        <v>401</v>
      </c>
    </row>
    <row r="543" spans="1:12" x14ac:dyDescent="0.25">
      <c r="A543">
        <v>543</v>
      </c>
      <c r="B543" t="s">
        <v>927</v>
      </c>
      <c r="C543" t="s">
        <v>11</v>
      </c>
      <c r="D543" t="s">
        <v>1050</v>
      </c>
      <c r="E543" s="2">
        <v>171800000</v>
      </c>
      <c r="F543" s="3">
        <v>810.92930000000001</v>
      </c>
      <c r="G543" t="s">
        <v>87</v>
      </c>
      <c r="H543">
        <v>500</v>
      </c>
      <c r="I543">
        <v>35</v>
      </c>
      <c r="J543">
        <v>2014</v>
      </c>
      <c r="K543">
        <v>2</v>
      </c>
      <c r="L543" t="s">
        <v>116</v>
      </c>
    </row>
    <row r="544" spans="1:12" x14ac:dyDescent="0.25">
      <c r="A544">
        <v>544</v>
      </c>
      <c r="B544" t="s">
        <v>928</v>
      </c>
      <c r="C544" t="s">
        <v>50</v>
      </c>
      <c r="D544" t="s">
        <v>52</v>
      </c>
      <c r="E544" s="2">
        <v>31600000</v>
      </c>
      <c r="F544" s="3">
        <v>810.5992</v>
      </c>
      <c r="G544" t="s">
        <v>16</v>
      </c>
      <c r="H544">
        <v>23</v>
      </c>
      <c r="I544">
        <v>8</v>
      </c>
      <c r="J544">
        <v>2009</v>
      </c>
      <c r="K544">
        <v>6</v>
      </c>
      <c r="L544" t="s">
        <v>52</v>
      </c>
    </row>
    <row r="545" spans="1:12" x14ac:dyDescent="0.25">
      <c r="A545">
        <v>545</v>
      </c>
      <c r="B545" t="s">
        <v>929</v>
      </c>
      <c r="C545" t="s">
        <v>19</v>
      </c>
      <c r="D545" t="s">
        <v>1052</v>
      </c>
      <c r="E545" s="2">
        <v>8199999.9999999991</v>
      </c>
      <c r="F545" s="3">
        <v>810.34349999999995</v>
      </c>
      <c r="G545" t="s">
        <v>73</v>
      </c>
      <c r="H545">
        <v>46</v>
      </c>
      <c r="I545">
        <v>8</v>
      </c>
      <c r="J545">
        <v>2012</v>
      </c>
      <c r="K545">
        <v>2</v>
      </c>
      <c r="L545" t="s">
        <v>469</v>
      </c>
    </row>
    <row r="546" spans="1:12" x14ac:dyDescent="0.25">
      <c r="A546">
        <v>546</v>
      </c>
      <c r="B546" t="s">
        <v>930</v>
      </c>
      <c r="C546" t="s">
        <v>66</v>
      </c>
      <c r="D546" t="s">
        <v>1058</v>
      </c>
      <c r="E546" s="2">
        <v>7300000</v>
      </c>
      <c r="F546" s="3">
        <v>809.88969999999995</v>
      </c>
      <c r="G546" t="s">
        <v>81</v>
      </c>
      <c r="H546">
        <v>10</v>
      </c>
      <c r="I546">
        <v>3</v>
      </c>
      <c r="J546">
        <v>2014</v>
      </c>
      <c r="K546">
        <v>1</v>
      </c>
      <c r="L546" t="s">
        <v>931</v>
      </c>
    </row>
    <row r="547" spans="1:12" x14ac:dyDescent="0.25">
      <c r="A547">
        <v>547</v>
      </c>
      <c r="B547" t="s">
        <v>932</v>
      </c>
      <c r="C547" t="s">
        <v>50</v>
      </c>
      <c r="D547" t="s">
        <v>52</v>
      </c>
      <c r="E547" s="2">
        <v>6200000</v>
      </c>
      <c r="F547" s="3">
        <v>809.77949999999998</v>
      </c>
      <c r="G547" t="s">
        <v>7</v>
      </c>
      <c r="H547">
        <v>35</v>
      </c>
      <c r="I547">
        <v>5</v>
      </c>
      <c r="J547">
        <v>2014</v>
      </c>
      <c r="K547">
        <v>1</v>
      </c>
      <c r="L547" t="s">
        <v>933</v>
      </c>
    </row>
    <row r="548" spans="1:12" x14ac:dyDescent="0.25">
      <c r="A548">
        <v>548</v>
      </c>
      <c r="B548" t="s">
        <v>934</v>
      </c>
      <c r="C548" t="s">
        <v>396</v>
      </c>
      <c r="D548" t="s">
        <v>1078</v>
      </c>
      <c r="E548" s="2">
        <v>10700000</v>
      </c>
      <c r="F548" s="3">
        <v>809.24149999999997</v>
      </c>
      <c r="G548" t="s">
        <v>84</v>
      </c>
      <c r="H548">
        <v>43</v>
      </c>
      <c r="I548">
        <v>8</v>
      </c>
      <c r="J548">
        <v>2009</v>
      </c>
      <c r="K548">
        <v>2</v>
      </c>
      <c r="L548" t="s">
        <v>397</v>
      </c>
    </row>
    <row r="549" spans="1:12" x14ac:dyDescent="0.25">
      <c r="A549">
        <v>549</v>
      </c>
      <c r="B549" t="s">
        <v>935</v>
      </c>
      <c r="C549" t="s">
        <v>23</v>
      </c>
      <c r="D549" t="s">
        <v>321</v>
      </c>
      <c r="E549" s="2">
        <v>5500000</v>
      </c>
      <c r="F549" s="3">
        <v>808.52480000000003</v>
      </c>
      <c r="G549" t="s">
        <v>148</v>
      </c>
      <c r="H549">
        <v>28</v>
      </c>
      <c r="I549">
        <v>6</v>
      </c>
      <c r="J549">
        <v>2014</v>
      </c>
      <c r="K549">
        <v>2</v>
      </c>
      <c r="L549" t="s">
        <v>280</v>
      </c>
    </row>
    <row r="550" spans="1:12" x14ac:dyDescent="0.25">
      <c r="A550">
        <v>550</v>
      </c>
      <c r="B550" t="s">
        <v>936</v>
      </c>
      <c r="C550" t="s">
        <v>312</v>
      </c>
      <c r="D550" t="s">
        <v>1073</v>
      </c>
      <c r="E550" s="2">
        <v>37600000</v>
      </c>
      <c r="F550" s="3">
        <v>808.48090000000002</v>
      </c>
      <c r="G550" t="s">
        <v>152</v>
      </c>
      <c r="H550">
        <v>316</v>
      </c>
      <c r="I550">
        <v>233</v>
      </c>
      <c r="J550">
        <v>2013</v>
      </c>
      <c r="K550">
        <v>2</v>
      </c>
      <c r="L550" t="s">
        <v>921</v>
      </c>
    </row>
    <row r="551" spans="1:12" x14ac:dyDescent="0.25">
      <c r="A551">
        <v>551</v>
      </c>
      <c r="B551" t="s">
        <v>937</v>
      </c>
      <c r="C551" t="s">
        <v>219</v>
      </c>
      <c r="D551" t="s">
        <v>1071</v>
      </c>
      <c r="E551" s="2">
        <v>7500000</v>
      </c>
      <c r="F551" s="3">
        <v>807.77409999999998</v>
      </c>
      <c r="G551" t="s">
        <v>108</v>
      </c>
      <c r="H551">
        <v>18</v>
      </c>
      <c r="I551">
        <v>6</v>
      </c>
      <c r="J551">
        <v>2014</v>
      </c>
      <c r="K551">
        <v>1</v>
      </c>
      <c r="L551" t="s">
        <v>652</v>
      </c>
    </row>
    <row r="552" spans="1:12" x14ac:dyDescent="0.25">
      <c r="A552">
        <v>552</v>
      </c>
      <c r="B552" t="s">
        <v>938</v>
      </c>
      <c r="C552" t="s">
        <v>38</v>
      </c>
      <c r="D552" t="s">
        <v>1013</v>
      </c>
      <c r="E552" s="2">
        <v>11000000</v>
      </c>
      <c r="F552" s="3">
        <v>805.07410000000004</v>
      </c>
      <c r="G552" t="s">
        <v>73</v>
      </c>
      <c r="H552">
        <v>66</v>
      </c>
      <c r="I552">
        <v>12</v>
      </c>
      <c r="J552">
        <v>2011</v>
      </c>
      <c r="K552">
        <v>2</v>
      </c>
      <c r="L552" t="s">
        <v>917</v>
      </c>
    </row>
    <row r="553" spans="1:12" x14ac:dyDescent="0.25">
      <c r="A553">
        <v>553</v>
      </c>
      <c r="B553" t="s">
        <v>939</v>
      </c>
      <c r="C553" t="s">
        <v>89</v>
      </c>
      <c r="D553" t="s">
        <v>1061</v>
      </c>
      <c r="E553" s="2">
        <v>5300000</v>
      </c>
      <c r="F553" s="3">
        <v>803.9375</v>
      </c>
      <c r="G553" t="s">
        <v>51</v>
      </c>
      <c r="H553">
        <v>33</v>
      </c>
      <c r="I553">
        <v>4</v>
      </c>
      <c r="J553">
        <v>2014</v>
      </c>
      <c r="K553">
        <v>2</v>
      </c>
      <c r="L553" t="s">
        <v>940</v>
      </c>
    </row>
    <row r="554" spans="1:12" x14ac:dyDescent="0.25">
      <c r="A554">
        <v>554</v>
      </c>
      <c r="B554" t="s">
        <v>941</v>
      </c>
      <c r="C554" t="s">
        <v>50</v>
      </c>
      <c r="D554" t="s">
        <v>52</v>
      </c>
      <c r="E554" s="2">
        <v>6000000</v>
      </c>
      <c r="F554" s="3">
        <v>801.44830000000002</v>
      </c>
      <c r="G554" t="s">
        <v>16</v>
      </c>
      <c r="H554">
        <v>9</v>
      </c>
      <c r="I554">
        <v>2</v>
      </c>
      <c r="J554">
        <v>2008</v>
      </c>
      <c r="K554">
        <v>2</v>
      </c>
      <c r="L554" t="s">
        <v>942</v>
      </c>
    </row>
    <row r="555" spans="1:12" x14ac:dyDescent="0.25">
      <c r="A555">
        <v>555</v>
      </c>
      <c r="B555" t="s">
        <v>943</v>
      </c>
      <c r="C555" t="s">
        <v>35</v>
      </c>
      <c r="D555" t="s">
        <v>1055</v>
      </c>
      <c r="E555" s="2">
        <v>10700000</v>
      </c>
      <c r="F555" s="3">
        <v>800.5729</v>
      </c>
      <c r="G555" t="s">
        <v>108</v>
      </c>
      <c r="H555">
        <v>9</v>
      </c>
      <c r="I555">
        <v>2</v>
      </c>
      <c r="J555">
        <v>2014</v>
      </c>
      <c r="K555">
        <v>1</v>
      </c>
      <c r="L555" t="s">
        <v>233</v>
      </c>
    </row>
    <row r="556" spans="1:12" x14ac:dyDescent="0.25">
      <c r="A556">
        <v>556</v>
      </c>
      <c r="B556" t="s">
        <v>944</v>
      </c>
      <c r="C556" t="s">
        <v>27</v>
      </c>
      <c r="D556" t="s">
        <v>1053</v>
      </c>
      <c r="E556" s="2">
        <v>9200000</v>
      </c>
      <c r="F556" s="3">
        <v>800.38570000000004</v>
      </c>
      <c r="G556" t="s">
        <v>84</v>
      </c>
      <c r="H556">
        <v>18</v>
      </c>
      <c r="I556">
        <v>5</v>
      </c>
      <c r="J556">
        <v>2006</v>
      </c>
      <c r="K556">
        <v>3</v>
      </c>
      <c r="L556" t="s">
        <v>945</v>
      </c>
    </row>
    <row r="557" spans="1:12" x14ac:dyDescent="0.25">
      <c r="A557">
        <v>557</v>
      </c>
      <c r="B557" t="s">
        <v>946</v>
      </c>
      <c r="C557" t="s">
        <v>113</v>
      </c>
      <c r="D557" t="s">
        <v>1065</v>
      </c>
      <c r="E557" s="2">
        <v>2200000</v>
      </c>
      <c r="F557" s="3">
        <v>797.33510000000001</v>
      </c>
      <c r="G557" t="s">
        <v>134</v>
      </c>
      <c r="H557">
        <v>72</v>
      </c>
      <c r="I557">
        <v>2</v>
      </c>
      <c r="J557">
        <v>2008</v>
      </c>
      <c r="K557">
        <v>1</v>
      </c>
      <c r="L557" t="s">
        <v>200</v>
      </c>
    </row>
    <row r="558" spans="1:12" x14ac:dyDescent="0.25">
      <c r="A558">
        <v>558</v>
      </c>
      <c r="B558" t="s">
        <v>947</v>
      </c>
      <c r="C558" t="s">
        <v>38</v>
      </c>
      <c r="D558" t="s">
        <v>1013</v>
      </c>
      <c r="E558" s="2">
        <v>12600000</v>
      </c>
      <c r="F558" s="3">
        <v>797.08590000000004</v>
      </c>
      <c r="G558" t="s">
        <v>73</v>
      </c>
      <c r="H558">
        <v>134</v>
      </c>
      <c r="I558">
        <v>95</v>
      </c>
      <c r="J558">
        <v>2007</v>
      </c>
      <c r="K558">
        <v>3</v>
      </c>
      <c r="L558" t="s">
        <v>948</v>
      </c>
    </row>
    <row r="559" spans="1:12" x14ac:dyDescent="0.25">
      <c r="A559">
        <v>559</v>
      </c>
      <c r="B559" t="s">
        <v>949</v>
      </c>
      <c r="C559" t="s">
        <v>100</v>
      </c>
      <c r="D559" t="s">
        <v>1062</v>
      </c>
      <c r="E559" s="2">
        <v>27400000</v>
      </c>
      <c r="F559" s="3">
        <v>794.18340000000001</v>
      </c>
      <c r="G559" t="s">
        <v>119</v>
      </c>
      <c r="H559">
        <v>160</v>
      </c>
      <c r="I559">
        <v>32</v>
      </c>
      <c r="J559">
        <v>2014</v>
      </c>
      <c r="K559">
        <v>2</v>
      </c>
      <c r="L559" t="s">
        <v>753</v>
      </c>
    </row>
    <row r="560" spans="1:12" x14ac:dyDescent="0.25">
      <c r="A560">
        <v>560</v>
      </c>
      <c r="B560" t="s">
        <v>950</v>
      </c>
      <c r="C560" t="s">
        <v>31</v>
      </c>
      <c r="D560" t="s">
        <v>1054</v>
      </c>
      <c r="E560" s="2">
        <v>2000000</v>
      </c>
      <c r="F560" s="3">
        <v>794.00450000000001</v>
      </c>
      <c r="G560" t="s">
        <v>152</v>
      </c>
      <c r="H560">
        <v>10</v>
      </c>
      <c r="I560">
        <v>5</v>
      </c>
      <c r="J560">
        <v>2009</v>
      </c>
      <c r="K560">
        <v>1</v>
      </c>
      <c r="L560" t="s">
        <v>173</v>
      </c>
    </row>
    <row r="561" spans="1:12" x14ac:dyDescent="0.25">
      <c r="A561">
        <v>561</v>
      </c>
      <c r="B561" t="s">
        <v>951</v>
      </c>
      <c r="C561" t="s">
        <v>38</v>
      </c>
      <c r="D561" t="s">
        <v>1013</v>
      </c>
      <c r="E561" s="2">
        <v>17200000</v>
      </c>
      <c r="F561" s="3">
        <v>791.56119999999999</v>
      </c>
      <c r="G561" t="s">
        <v>119</v>
      </c>
      <c r="H561">
        <v>700</v>
      </c>
      <c r="I561">
        <v>250</v>
      </c>
      <c r="J561">
        <v>2009</v>
      </c>
      <c r="K561">
        <v>1</v>
      </c>
      <c r="L561" t="s">
        <v>952</v>
      </c>
    </row>
    <row r="562" spans="1:12" x14ac:dyDescent="0.25">
      <c r="A562">
        <v>562</v>
      </c>
      <c r="B562" t="s">
        <v>953</v>
      </c>
      <c r="C562" t="s">
        <v>50</v>
      </c>
      <c r="D562" t="s">
        <v>52</v>
      </c>
      <c r="E562" s="2">
        <v>138500000</v>
      </c>
      <c r="F562" s="3">
        <v>790.14980000000003</v>
      </c>
      <c r="G562" t="s">
        <v>3</v>
      </c>
      <c r="H562">
        <v>205</v>
      </c>
      <c r="I562">
        <v>60</v>
      </c>
      <c r="J562">
        <v>2012</v>
      </c>
      <c r="K562">
        <v>3</v>
      </c>
      <c r="L562" t="s">
        <v>52</v>
      </c>
    </row>
    <row r="563" spans="1:12" x14ac:dyDescent="0.25">
      <c r="A563">
        <v>563</v>
      </c>
      <c r="B563" t="s">
        <v>954</v>
      </c>
      <c r="C563" t="s">
        <v>50</v>
      </c>
      <c r="D563" t="s">
        <v>52</v>
      </c>
      <c r="E563" s="2">
        <v>6900000</v>
      </c>
      <c r="F563" s="3">
        <v>786.74959999999999</v>
      </c>
      <c r="G563" t="s">
        <v>3</v>
      </c>
      <c r="H563">
        <v>32</v>
      </c>
      <c r="I563">
        <v>4</v>
      </c>
      <c r="J563">
        <v>2014</v>
      </c>
      <c r="K563">
        <v>2</v>
      </c>
      <c r="L563" t="s">
        <v>955</v>
      </c>
    </row>
    <row r="564" spans="1:12" x14ac:dyDescent="0.25">
      <c r="A564">
        <v>564</v>
      </c>
      <c r="B564" t="s">
        <v>956</v>
      </c>
      <c r="C564" t="s">
        <v>100</v>
      </c>
      <c r="D564" t="s">
        <v>1062</v>
      </c>
      <c r="E564" s="2">
        <v>77400000</v>
      </c>
      <c r="F564" s="3">
        <v>785.5059</v>
      </c>
      <c r="G564" t="s">
        <v>16</v>
      </c>
      <c r="H564">
        <v>500</v>
      </c>
      <c r="I564">
        <v>56</v>
      </c>
      <c r="J564">
        <v>2013</v>
      </c>
      <c r="K564">
        <v>1</v>
      </c>
      <c r="L564" t="s">
        <v>753</v>
      </c>
    </row>
    <row r="565" spans="1:12" x14ac:dyDescent="0.25">
      <c r="A565">
        <v>565</v>
      </c>
      <c r="B565" t="s">
        <v>957</v>
      </c>
      <c r="C565" t="s">
        <v>11</v>
      </c>
      <c r="D565" t="s">
        <v>1050</v>
      </c>
      <c r="E565" s="2">
        <v>16700000</v>
      </c>
      <c r="F565" s="3">
        <v>784.26469999999995</v>
      </c>
      <c r="G565" t="s">
        <v>16</v>
      </c>
      <c r="H565">
        <v>11</v>
      </c>
      <c r="I565">
        <v>4</v>
      </c>
      <c r="J565">
        <v>2014</v>
      </c>
      <c r="K565">
        <v>1</v>
      </c>
      <c r="L565" t="s">
        <v>958</v>
      </c>
    </row>
    <row r="566" spans="1:12" x14ac:dyDescent="0.25">
      <c r="A566">
        <v>566</v>
      </c>
      <c r="B566" t="s">
        <v>959</v>
      </c>
      <c r="C566" t="s">
        <v>113</v>
      </c>
      <c r="D566" t="s">
        <v>1065</v>
      </c>
      <c r="E566" s="2">
        <v>8900000</v>
      </c>
      <c r="F566" s="3">
        <v>783.74760000000003</v>
      </c>
      <c r="G566" t="s">
        <v>84</v>
      </c>
      <c r="H566">
        <v>38</v>
      </c>
      <c r="I566">
        <v>9</v>
      </c>
      <c r="J566">
        <v>2011</v>
      </c>
      <c r="K566">
        <v>2</v>
      </c>
      <c r="L566" t="s">
        <v>960</v>
      </c>
    </row>
    <row r="567" spans="1:12" x14ac:dyDescent="0.25">
      <c r="A567">
        <v>567</v>
      </c>
      <c r="B567" t="s">
        <v>961</v>
      </c>
      <c r="C567" t="s">
        <v>50</v>
      </c>
      <c r="D567" t="s">
        <v>52</v>
      </c>
      <c r="E567" s="2">
        <v>2800000</v>
      </c>
      <c r="F567" s="3">
        <v>777.71510000000001</v>
      </c>
      <c r="G567" t="s">
        <v>3</v>
      </c>
      <c r="H567">
        <v>11</v>
      </c>
      <c r="I567">
        <v>2</v>
      </c>
      <c r="J567">
        <v>2014</v>
      </c>
      <c r="K567">
        <v>1</v>
      </c>
      <c r="L567" t="s">
        <v>962</v>
      </c>
    </row>
    <row r="568" spans="1:12" x14ac:dyDescent="0.25">
      <c r="A568">
        <v>568</v>
      </c>
      <c r="B568" t="s">
        <v>963</v>
      </c>
      <c r="C568" t="s">
        <v>396</v>
      </c>
      <c r="D568" t="s">
        <v>1078</v>
      </c>
      <c r="E568" s="2">
        <v>70700000</v>
      </c>
      <c r="F568" s="3">
        <v>775.73500000000001</v>
      </c>
      <c r="G568" t="s">
        <v>84</v>
      </c>
      <c r="H568">
        <v>280</v>
      </c>
      <c r="I568">
        <v>25</v>
      </c>
      <c r="J568">
        <v>2010</v>
      </c>
      <c r="K568">
        <v>2</v>
      </c>
      <c r="L568" t="s">
        <v>397</v>
      </c>
    </row>
    <row r="569" spans="1:12" x14ac:dyDescent="0.25">
      <c r="A569">
        <v>569</v>
      </c>
      <c r="B569" t="s">
        <v>964</v>
      </c>
      <c r="C569" t="s">
        <v>23</v>
      </c>
      <c r="D569" t="s">
        <v>321</v>
      </c>
      <c r="E569" s="2">
        <v>46400000</v>
      </c>
      <c r="F569" s="3">
        <v>775.29880000000003</v>
      </c>
      <c r="G569" t="s">
        <v>84</v>
      </c>
      <c r="H569">
        <v>190</v>
      </c>
      <c r="I569">
        <v>50</v>
      </c>
      <c r="J569">
        <v>2011</v>
      </c>
      <c r="K569">
        <v>3</v>
      </c>
      <c r="L569" t="s">
        <v>965</v>
      </c>
    </row>
    <row r="570" spans="1:12" x14ac:dyDescent="0.25">
      <c r="A570">
        <v>570</v>
      </c>
      <c r="B570" t="s">
        <v>966</v>
      </c>
      <c r="C570" t="s">
        <v>133</v>
      </c>
      <c r="D570" t="s">
        <v>1066</v>
      </c>
      <c r="E570" s="2">
        <v>5000000</v>
      </c>
      <c r="F570" s="3">
        <v>773.74599999999998</v>
      </c>
      <c r="G570" t="s">
        <v>261</v>
      </c>
      <c r="H570">
        <v>90</v>
      </c>
      <c r="I570">
        <v>15</v>
      </c>
      <c r="J570">
        <v>2013</v>
      </c>
      <c r="K570">
        <v>1</v>
      </c>
      <c r="L570" t="s">
        <v>135</v>
      </c>
    </row>
    <row r="571" spans="1:12" x14ac:dyDescent="0.25">
      <c r="A571">
        <v>571</v>
      </c>
      <c r="B571" t="s">
        <v>967</v>
      </c>
      <c r="C571" t="s">
        <v>104</v>
      </c>
      <c r="D571" t="s">
        <v>1063</v>
      </c>
      <c r="E571" s="2">
        <v>3700000</v>
      </c>
      <c r="F571" s="3">
        <v>773.52059999999994</v>
      </c>
      <c r="G571" t="s">
        <v>3</v>
      </c>
      <c r="H571">
        <v>22</v>
      </c>
      <c r="I571">
        <v>5</v>
      </c>
      <c r="J571">
        <v>2015</v>
      </c>
      <c r="K571">
        <v>1</v>
      </c>
      <c r="L571" t="s">
        <v>105</v>
      </c>
    </row>
    <row r="572" spans="1:12" x14ac:dyDescent="0.25">
      <c r="A572">
        <v>572</v>
      </c>
      <c r="B572" t="s">
        <v>968</v>
      </c>
      <c r="C572" t="s">
        <v>354</v>
      </c>
      <c r="D572" t="s">
        <v>1077</v>
      </c>
      <c r="E572" s="2">
        <v>17500000</v>
      </c>
      <c r="F572" s="3">
        <v>771.86400000000003</v>
      </c>
      <c r="G572" t="s">
        <v>152</v>
      </c>
      <c r="H572">
        <v>55</v>
      </c>
      <c r="I572">
        <v>3</v>
      </c>
      <c r="J572">
        <v>2012</v>
      </c>
      <c r="K572">
        <v>1</v>
      </c>
      <c r="L572" t="s">
        <v>481</v>
      </c>
    </row>
    <row r="573" spans="1:12" x14ac:dyDescent="0.25">
      <c r="A573">
        <v>573</v>
      </c>
      <c r="B573" t="s">
        <v>969</v>
      </c>
      <c r="C573" t="s">
        <v>19</v>
      </c>
      <c r="D573" t="s">
        <v>1052</v>
      </c>
      <c r="E573" s="2">
        <v>41900000</v>
      </c>
      <c r="F573" s="3">
        <v>771.00279999999998</v>
      </c>
      <c r="G573" t="s">
        <v>7</v>
      </c>
      <c r="H573">
        <v>83</v>
      </c>
      <c r="I573">
        <v>7</v>
      </c>
      <c r="J573">
        <v>2013</v>
      </c>
      <c r="K573">
        <v>1</v>
      </c>
      <c r="L573" t="s">
        <v>513</v>
      </c>
    </row>
    <row r="574" spans="1:12" x14ac:dyDescent="0.25">
      <c r="A574">
        <v>574</v>
      </c>
      <c r="B574" t="s">
        <v>970</v>
      </c>
      <c r="C574" t="s">
        <v>219</v>
      </c>
      <c r="D574" t="s">
        <v>1071</v>
      </c>
      <c r="E574" s="2">
        <v>79600000</v>
      </c>
      <c r="F574" s="3">
        <v>769.61739999999998</v>
      </c>
      <c r="G574" t="s">
        <v>24</v>
      </c>
      <c r="H574">
        <v>41</v>
      </c>
      <c r="I574">
        <v>10</v>
      </c>
      <c r="J574">
        <v>2003</v>
      </c>
      <c r="K574">
        <v>1</v>
      </c>
      <c r="L574" t="s">
        <v>971</v>
      </c>
    </row>
    <row r="575" spans="1:12" x14ac:dyDescent="0.25">
      <c r="A575">
        <v>575</v>
      </c>
      <c r="B575" t="s">
        <v>972</v>
      </c>
      <c r="C575" t="s">
        <v>31</v>
      </c>
      <c r="D575" t="s">
        <v>1054</v>
      </c>
      <c r="E575" s="2">
        <v>16399999.999999998</v>
      </c>
      <c r="F575" s="3">
        <v>768.67740000000003</v>
      </c>
      <c r="G575" t="s">
        <v>84</v>
      </c>
      <c r="H575">
        <v>67</v>
      </c>
      <c r="I575">
        <v>23</v>
      </c>
      <c r="J575">
        <v>2012</v>
      </c>
      <c r="K575">
        <v>3</v>
      </c>
      <c r="L575" t="s">
        <v>858</v>
      </c>
    </row>
    <row r="576" spans="1:12" x14ac:dyDescent="0.25">
      <c r="A576">
        <v>576</v>
      </c>
      <c r="B576" t="s">
        <v>973</v>
      </c>
      <c r="C576" t="s">
        <v>31</v>
      </c>
      <c r="D576" t="s">
        <v>1054</v>
      </c>
      <c r="E576" s="2">
        <v>12500000</v>
      </c>
      <c r="F576" s="3">
        <v>767.88710000000003</v>
      </c>
      <c r="G576" t="s">
        <v>84</v>
      </c>
      <c r="H576">
        <v>65</v>
      </c>
      <c r="I576">
        <v>10</v>
      </c>
      <c r="J576">
        <v>2013</v>
      </c>
      <c r="K576">
        <v>2</v>
      </c>
      <c r="L576" t="s">
        <v>241</v>
      </c>
    </row>
    <row r="577" spans="1:12" x14ac:dyDescent="0.25">
      <c r="A577">
        <v>577</v>
      </c>
      <c r="B577" t="s">
        <v>974</v>
      </c>
      <c r="C577" t="s">
        <v>155</v>
      </c>
      <c r="D577" t="s">
        <v>1068</v>
      </c>
      <c r="E577" s="2">
        <v>37300000</v>
      </c>
      <c r="F577" s="3">
        <v>767.43389999999999</v>
      </c>
      <c r="G577" t="s">
        <v>108</v>
      </c>
      <c r="H577">
        <v>225</v>
      </c>
      <c r="I577">
        <v>30</v>
      </c>
      <c r="J577">
        <v>2012</v>
      </c>
      <c r="K577">
        <v>1</v>
      </c>
      <c r="L577" t="s">
        <v>975</v>
      </c>
    </row>
    <row r="578" spans="1:12" x14ac:dyDescent="0.25">
      <c r="A578">
        <v>578</v>
      </c>
      <c r="B578" t="s">
        <v>976</v>
      </c>
      <c r="C578" t="s">
        <v>2</v>
      </c>
      <c r="D578" t="s">
        <v>1048</v>
      </c>
      <c r="E578" s="2">
        <v>4600000</v>
      </c>
      <c r="F578" s="3">
        <v>766.89869999999996</v>
      </c>
      <c r="G578" t="s">
        <v>69</v>
      </c>
      <c r="H578">
        <v>23</v>
      </c>
      <c r="I578">
        <v>3</v>
      </c>
      <c r="J578">
        <v>2012</v>
      </c>
      <c r="K578">
        <v>2</v>
      </c>
      <c r="L578" t="s">
        <v>678</v>
      </c>
    </row>
    <row r="579" spans="1:12" x14ac:dyDescent="0.25">
      <c r="A579">
        <v>579</v>
      </c>
      <c r="B579" t="s">
        <v>977</v>
      </c>
      <c r="C579" t="s">
        <v>422</v>
      </c>
      <c r="D579" t="s">
        <v>1014</v>
      </c>
      <c r="E579" s="2">
        <v>7000000</v>
      </c>
      <c r="F579" s="3">
        <v>764.94230000000005</v>
      </c>
      <c r="G579" t="s">
        <v>3</v>
      </c>
      <c r="H579">
        <v>8</v>
      </c>
      <c r="I579">
        <v>2</v>
      </c>
      <c r="J579">
        <v>2014</v>
      </c>
      <c r="K579">
        <v>1</v>
      </c>
      <c r="L579" t="s">
        <v>978</v>
      </c>
    </row>
    <row r="580" spans="1:12" x14ac:dyDescent="0.25">
      <c r="A580">
        <v>580</v>
      </c>
      <c r="B580" t="s">
        <v>979</v>
      </c>
      <c r="C580" t="s">
        <v>712</v>
      </c>
      <c r="D580" t="s">
        <v>1082</v>
      </c>
      <c r="E580" s="2">
        <v>10000000</v>
      </c>
      <c r="F580" s="3">
        <v>763.69050000000004</v>
      </c>
      <c r="G580" t="s">
        <v>51</v>
      </c>
      <c r="H580">
        <v>23</v>
      </c>
      <c r="I580">
        <v>5</v>
      </c>
      <c r="J580">
        <v>2008</v>
      </c>
      <c r="K580">
        <v>2</v>
      </c>
      <c r="L580" t="s">
        <v>980</v>
      </c>
    </row>
    <row r="581" spans="1:12" x14ac:dyDescent="0.25">
      <c r="A581">
        <v>581</v>
      </c>
      <c r="B581" t="s">
        <v>981</v>
      </c>
      <c r="C581" t="s">
        <v>23</v>
      </c>
      <c r="D581" t="s">
        <v>321</v>
      </c>
      <c r="E581" s="2">
        <v>6100000</v>
      </c>
      <c r="F581" s="3">
        <v>762.61329999999998</v>
      </c>
      <c r="G581" t="s">
        <v>148</v>
      </c>
      <c r="H581">
        <v>10</v>
      </c>
      <c r="I581">
        <v>3</v>
      </c>
      <c r="J581">
        <v>2012</v>
      </c>
      <c r="K581">
        <v>1</v>
      </c>
      <c r="L581" t="s">
        <v>982</v>
      </c>
    </row>
    <row r="582" spans="1:12" x14ac:dyDescent="0.25">
      <c r="A582">
        <v>582</v>
      </c>
      <c r="B582" t="s">
        <v>983</v>
      </c>
      <c r="C582" t="s">
        <v>31</v>
      </c>
      <c r="D582" t="s">
        <v>1054</v>
      </c>
      <c r="E582" s="2">
        <v>17100000</v>
      </c>
      <c r="F582" s="3">
        <v>758.82360000000006</v>
      </c>
      <c r="G582" t="s">
        <v>84</v>
      </c>
      <c r="H582">
        <v>183</v>
      </c>
      <c r="I582">
        <v>15</v>
      </c>
      <c r="J582">
        <v>2001</v>
      </c>
      <c r="K582">
        <v>3</v>
      </c>
      <c r="L582" t="s">
        <v>805</v>
      </c>
    </row>
    <row r="583" spans="1:12" x14ac:dyDescent="0.25">
      <c r="A583">
        <v>583</v>
      </c>
      <c r="B583" t="s">
        <v>984</v>
      </c>
      <c r="C583" t="s">
        <v>23</v>
      </c>
      <c r="D583" t="s">
        <v>321</v>
      </c>
      <c r="E583" s="2">
        <v>45500000</v>
      </c>
      <c r="F583" s="3">
        <v>758.55470000000003</v>
      </c>
      <c r="G583" t="s">
        <v>148</v>
      </c>
      <c r="H583">
        <v>70</v>
      </c>
      <c r="I583">
        <v>27</v>
      </c>
      <c r="J583">
        <v>2011</v>
      </c>
      <c r="K583">
        <v>4</v>
      </c>
      <c r="L583" t="s">
        <v>25</v>
      </c>
    </row>
    <row r="584" spans="1:12" x14ac:dyDescent="0.25">
      <c r="A584">
        <v>584</v>
      </c>
      <c r="B584" t="s">
        <v>985</v>
      </c>
      <c r="C584" t="s">
        <v>56</v>
      </c>
      <c r="D584" t="s">
        <v>1057</v>
      </c>
      <c r="E584" s="2">
        <v>21800000</v>
      </c>
      <c r="F584" s="3">
        <v>758.47979999999995</v>
      </c>
      <c r="G584" t="s">
        <v>87</v>
      </c>
      <c r="H584">
        <v>22</v>
      </c>
      <c r="I584">
        <v>5</v>
      </c>
      <c r="J584">
        <v>2015</v>
      </c>
      <c r="K584">
        <v>2</v>
      </c>
      <c r="L584" t="s">
        <v>57</v>
      </c>
    </row>
    <row r="585" spans="1:12" x14ac:dyDescent="0.25">
      <c r="A585">
        <v>585</v>
      </c>
      <c r="B585" t="s">
        <v>986</v>
      </c>
      <c r="C585" t="s">
        <v>219</v>
      </c>
      <c r="D585" t="s">
        <v>1071</v>
      </c>
      <c r="E585" s="2">
        <v>3600000</v>
      </c>
      <c r="F585" s="3">
        <v>758.1191</v>
      </c>
      <c r="G585" t="s">
        <v>139</v>
      </c>
      <c r="H585">
        <v>41</v>
      </c>
      <c r="I585">
        <v>20</v>
      </c>
      <c r="J585">
        <v>2013</v>
      </c>
      <c r="K585">
        <v>1</v>
      </c>
      <c r="L585" t="s">
        <v>987</v>
      </c>
    </row>
    <row r="586" spans="1:12" x14ac:dyDescent="0.25">
      <c r="A586">
        <v>586</v>
      </c>
      <c r="B586" t="s">
        <v>988</v>
      </c>
      <c r="C586" t="s">
        <v>31</v>
      </c>
      <c r="D586" t="s">
        <v>1054</v>
      </c>
      <c r="E586" s="2">
        <v>2500000</v>
      </c>
      <c r="F586" s="3">
        <v>756.4864</v>
      </c>
      <c r="G586" t="s">
        <v>426</v>
      </c>
      <c r="H586">
        <v>14</v>
      </c>
      <c r="I586">
        <v>2</v>
      </c>
      <c r="J586">
        <v>2010</v>
      </c>
      <c r="K586">
        <v>2</v>
      </c>
      <c r="L586" t="s">
        <v>177</v>
      </c>
    </row>
    <row r="587" spans="1:12" x14ac:dyDescent="0.25">
      <c r="A587">
        <v>587</v>
      </c>
      <c r="B587" t="s">
        <v>989</v>
      </c>
      <c r="C587" t="s">
        <v>46</v>
      </c>
      <c r="D587" t="s">
        <v>397</v>
      </c>
      <c r="E587" s="2">
        <v>18800000</v>
      </c>
      <c r="F587" s="3">
        <v>754.75789999999995</v>
      </c>
      <c r="G587" t="s">
        <v>3</v>
      </c>
      <c r="H587">
        <v>33</v>
      </c>
      <c r="I587">
        <v>8</v>
      </c>
      <c r="J587">
        <v>2010</v>
      </c>
      <c r="K587">
        <v>4</v>
      </c>
      <c r="L587" t="s">
        <v>990</v>
      </c>
    </row>
    <row r="588" spans="1:12" x14ac:dyDescent="0.25">
      <c r="A588">
        <v>588</v>
      </c>
      <c r="B588" t="s">
        <v>991</v>
      </c>
      <c r="C588" t="s">
        <v>56</v>
      </c>
      <c r="D588" t="s">
        <v>1057</v>
      </c>
      <c r="E588" s="2">
        <v>3700000</v>
      </c>
      <c r="F588" s="3">
        <v>754.65539999999999</v>
      </c>
      <c r="G588" t="s">
        <v>261</v>
      </c>
      <c r="H588">
        <v>25</v>
      </c>
      <c r="I588">
        <v>3</v>
      </c>
      <c r="J588">
        <v>2014</v>
      </c>
      <c r="K588">
        <v>2</v>
      </c>
      <c r="L588" t="s">
        <v>57</v>
      </c>
    </row>
    <row r="589" spans="1:12" x14ac:dyDescent="0.25">
      <c r="A589">
        <v>589</v>
      </c>
      <c r="B589" t="s">
        <v>992</v>
      </c>
      <c r="C589" t="s">
        <v>515</v>
      </c>
      <c r="D589" t="s">
        <v>1080</v>
      </c>
      <c r="E589" s="2">
        <v>4099999.9999999995</v>
      </c>
      <c r="F589" s="3">
        <v>754.35900000000004</v>
      </c>
      <c r="G589" t="s">
        <v>16</v>
      </c>
      <c r="H589">
        <v>4</v>
      </c>
      <c r="I589">
        <v>2</v>
      </c>
      <c r="J589">
        <v>2009</v>
      </c>
      <c r="K589">
        <v>2</v>
      </c>
      <c r="L589" t="s">
        <v>993</v>
      </c>
    </row>
    <row r="590" spans="1:12" x14ac:dyDescent="0.25">
      <c r="A590">
        <v>590</v>
      </c>
      <c r="B590" t="s">
        <v>994</v>
      </c>
      <c r="C590" t="s">
        <v>11</v>
      </c>
      <c r="D590" t="s">
        <v>1050</v>
      </c>
      <c r="E590" s="2">
        <v>3400000</v>
      </c>
      <c r="F590" s="3">
        <v>754.02660000000003</v>
      </c>
      <c r="G590" t="s">
        <v>426</v>
      </c>
      <c r="H590">
        <v>34</v>
      </c>
      <c r="I590">
        <v>7</v>
      </c>
      <c r="J590">
        <v>2008</v>
      </c>
      <c r="K590">
        <v>1</v>
      </c>
      <c r="L590" t="s">
        <v>116</v>
      </c>
    </row>
    <row r="591" spans="1:12" x14ac:dyDescent="0.25">
      <c r="A591">
        <v>591</v>
      </c>
      <c r="B591" t="s">
        <v>995</v>
      </c>
      <c r="C591" t="s">
        <v>155</v>
      </c>
      <c r="D591" t="s">
        <v>1068</v>
      </c>
      <c r="E591" s="2">
        <v>13000000</v>
      </c>
      <c r="F591" s="3">
        <v>751.24440000000004</v>
      </c>
      <c r="G591" t="s">
        <v>3</v>
      </c>
      <c r="H591">
        <v>21</v>
      </c>
      <c r="I591">
        <v>15</v>
      </c>
      <c r="J591">
        <v>2010</v>
      </c>
      <c r="K591">
        <v>3</v>
      </c>
      <c r="L591" t="s">
        <v>156</v>
      </c>
    </row>
    <row r="592" spans="1:12" x14ac:dyDescent="0.25">
      <c r="A592">
        <v>592</v>
      </c>
      <c r="B592" t="s">
        <v>996</v>
      </c>
      <c r="C592" t="s">
        <v>113</v>
      </c>
      <c r="D592" t="s">
        <v>1065</v>
      </c>
      <c r="E592" s="2">
        <v>16900000</v>
      </c>
      <c r="F592" s="3">
        <v>750.88130000000001</v>
      </c>
      <c r="G592" t="s">
        <v>84</v>
      </c>
      <c r="H592">
        <v>35</v>
      </c>
      <c r="I592">
        <v>16</v>
      </c>
      <c r="J592">
        <v>2008</v>
      </c>
      <c r="K592">
        <v>3</v>
      </c>
      <c r="L592" t="s">
        <v>518</v>
      </c>
    </row>
    <row r="593" spans="1:12" x14ac:dyDescent="0.25">
      <c r="A593">
        <v>593</v>
      </c>
      <c r="B593" t="s">
        <v>997</v>
      </c>
      <c r="C593" t="s">
        <v>219</v>
      </c>
      <c r="D593" t="s">
        <v>1071</v>
      </c>
      <c r="E593" s="2">
        <v>6000000</v>
      </c>
      <c r="F593" s="3">
        <v>750.33699999999999</v>
      </c>
      <c r="G593" t="s">
        <v>20</v>
      </c>
      <c r="H593">
        <v>10</v>
      </c>
      <c r="I593">
        <v>3</v>
      </c>
      <c r="J593">
        <v>2011</v>
      </c>
      <c r="K593">
        <v>2</v>
      </c>
      <c r="L593" t="s">
        <v>998</v>
      </c>
    </row>
    <row r="594" spans="1:12" x14ac:dyDescent="0.25">
      <c r="A594">
        <v>594</v>
      </c>
      <c r="B594" t="s">
        <v>999</v>
      </c>
      <c r="C594" t="s">
        <v>38</v>
      </c>
      <c r="D594" t="s">
        <v>1013</v>
      </c>
      <c r="E594" s="2">
        <v>5000000</v>
      </c>
      <c r="F594" s="3">
        <v>749.8904</v>
      </c>
      <c r="G594" t="s">
        <v>97</v>
      </c>
      <c r="H594">
        <v>14</v>
      </c>
      <c r="I594">
        <v>2</v>
      </c>
      <c r="J594">
        <v>2012</v>
      </c>
      <c r="K594">
        <v>1</v>
      </c>
      <c r="L594" t="s">
        <v>63</v>
      </c>
    </row>
    <row r="595" spans="1:12" x14ac:dyDescent="0.25">
      <c r="A595">
        <v>595</v>
      </c>
      <c r="B595" t="s">
        <v>1000</v>
      </c>
      <c r="C595" t="s">
        <v>2</v>
      </c>
      <c r="D595" t="s">
        <v>1048</v>
      </c>
      <c r="E595" s="2">
        <v>5300000</v>
      </c>
      <c r="F595" s="3">
        <v>746.88660000000004</v>
      </c>
      <c r="G595" t="s">
        <v>134</v>
      </c>
      <c r="H595">
        <v>45</v>
      </c>
      <c r="I595">
        <v>5</v>
      </c>
      <c r="J595">
        <v>2015</v>
      </c>
      <c r="K595">
        <v>1</v>
      </c>
      <c r="L595" t="s">
        <v>4</v>
      </c>
    </row>
    <row r="596" spans="1:12" x14ac:dyDescent="0.25">
      <c r="A596">
        <v>596</v>
      </c>
      <c r="B596" t="s">
        <v>1001</v>
      </c>
      <c r="C596" t="s">
        <v>786</v>
      </c>
      <c r="D596" t="s">
        <v>1083</v>
      </c>
      <c r="E596" s="2">
        <v>2000000</v>
      </c>
      <c r="F596" s="3">
        <v>746.03989999999999</v>
      </c>
      <c r="G596" t="s">
        <v>152</v>
      </c>
      <c r="H596">
        <v>18</v>
      </c>
      <c r="I596">
        <v>4</v>
      </c>
      <c r="J596">
        <v>2011</v>
      </c>
      <c r="K596">
        <v>1</v>
      </c>
      <c r="L596" t="s">
        <v>833</v>
      </c>
    </row>
    <row r="597" spans="1:12" x14ac:dyDescent="0.25">
      <c r="A597">
        <v>597</v>
      </c>
      <c r="B597" t="s">
        <v>1002</v>
      </c>
      <c r="C597" t="s">
        <v>78</v>
      </c>
      <c r="D597" t="s">
        <v>1060</v>
      </c>
      <c r="E597" s="2">
        <v>14900000</v>
      </c>
      <c r="F597" s="3">
        <v>743.58489999999995</v>
      </c>
      <c r="G597" t="s">
        <v>16</v>
      </c>
      <c r="H597">
        <v>39</v>
      </c>
      <c r="I597">
        <v>9</v>
      </c>
      <c r="J597">
        <v>2013</v>
      </c>
      <c r="K597">
        <v>2</v>
      </c>
      <c r="L597" t="s">
        <v>144</v>
      </c>
    </row>
    <row r="598" spans="1:12" x14ac:dyDescent="0.25">
      <c r="A598">
        <v>598</v>
      </c>
      <c r="B598" t="s">
        <v>1003</v>
      </c>
      <c r="C598" t="s">
        <v>113</v>
      </c>
      <c r="D598" t="s">
        <v>1065</v>
      </c>
      <c r="E598" s="2">
        <v>4000000</v>
      </c>
      <c r="F598" s="3">
        <v>742.78430000000003</v>
      </c>
      <c r="G598" t="s">
        <v>84</v>
      </c>
      <c r="H598">
        <v>30</v>
      </c>
      <c r="I598">
        <v>5</v>
      </c>
      <c r="J598">
        <v>2013</v>
      </c>
      <c r="K598">
        <v>1</v>
      </c>
      <c r="L598" t="s">
        <v>200</v>
      </c>
    </row>
    <row r="599" spans="1:12" x14ac:dyDescent="0.25">
      <c r="A599">
        <v>599</v>
      </c>
      <c r="B599" t="s">
        <v>1004</v>
      </c>
      <c r="C599" t="s">
        <v>38</v>
      </c>
      <c r="D599" t="s">
        <v>1013</v>
      </c>
      <c r="E599" s="2">
        <v>44000000</v>
      </c>
      <c r="F599" s="3">
        <v>741.23900000000003</v>
      </c>
      <c r="G599" t="s">
        <v>20</v>
      </c>
      <c r="H599">
        <v>55</v>
      </c>
      <c r="I599">
        <v>15</v>
      </c>
      <c r="J599">
        <v>2014</v>
      </c>
      <c r="K599">
        <v>1</v>
      </c>
      <c r="L599" t="s">
        <v>217</v>
      </c>
    </row>
    <row r="600" spans="1:12" x14ac:dyDescent="0.25">
      <c r="A600">
        <v>600</v>
      </c>
      <c r="B600" t="s">
        <v>1005</v>
      </c>
      <c r="C600" t="s">
        <v>56</v>
      </c>
      <c r="D600" t="s">
        <v>1057</v>
      </c>
      <c r="E600" s="2">
        <v>6000000</v>
      </c>
      <c r="F600" s="3">
        <v>740.05039999999997</v>
      </c>
      <c r="G600" t="s">
        <v>134</v>
      </c>
      <c r="H600">
        <v>113</v>
      </c>
      <c r="I600">
        <v>42</v>
      </c>
      <c r="J600">
        <v>2015</v>
      </c>
      <c r="K600">
        <v>1</v>
      </c>
      <c r="L600" t="s">
        <v>823</v>
      </c>
    </row>
    <row r="601" spans="1:12" x14ac:dyDescent="0.25">
      <c r="A601">
        <v>601</v>
      </c>
      <c r="B601" t="s">
        <v>1006</v>
      </c>
      <c r="C601" t="s">
        <v>219</v>
      </c>
      <c r="D601" t="s">
        <v>1071</v>
      </c>
      <c r="E601" s="2">
        <v>3400000</v>
      </c>
      <c r="F601" s="3">
        <v>738.51020000000005</v>
      </c>
      <c r="G601" t="s">
        <v>261</v>
      </c>
      <c r="H601">
        <v>12</v>
      </c>
      <c r="I601">
        <v>3</v>
      </c>
      <c r="J601">
        <v>2012</v>
      </c>
      <c r="K601">
        <v>1</v>
      </c>
      <c r="L601" t="s">
        <v>220</v>
      </c>
    </row>
    <row r="602" spans="1:12" x14ac:dyDescent="0.25">
      <c r="A602">
        <v>602</v>
      </c>
      <c r="B602" t="s">
        <v>1007</v>
      </c>
      <c r="C602" t="s">
        <v>50</v>
      </c>
      <c r="D602" t="s">
        <v>52</v>
      </c>
      <c r="E602" s="2">
        <v>2400000</v>
      </c>
      <c r="F602" s="3">
        <v>736.8569</v>
      </c>
      <c r="G602" t="s">
        <v>3</v>
      </c>
      <c r="H602">
        <v>2</v>
      </c>
      <c r="I602">
        <v>1</v>
      </c>
      <c r="J602">
        <v>2010</v>
      </c>
      <c r="K602">
        <v>1</v>
      </c>
      <c r="L602" t="s">
        <v>1008</v>
      </c>
    </row>
    <row r="603" spans="1:12" x14ac:dyDescent="0.25">
      <c r="A603">
        <v>603</v>
      </c>
      <c r="B603" t="s">
        <v>1009</v>
      </c>
      <c r="C603" t="s">
        <v>38</v>
      </c>
      <c r="D603" t="s">
        <v>1013</v>
      </c>
      <c r="E603" s="2">
        <v>10900000</v>
      </c>
      <c r="F603" s="3">
        <v>736.06029999999998</v>
      </c>
      <c r="G603" t="s">
        <v>24</v>
      </c>
      <c r="H603">
        <v>202</v>
      </c>
      <c r="I603">
        <v>43</v>
      </c>
      <c r="J603">
        <v>2012</v>
      </c>
      <c r="K603">
        <v>2</v>
      </c>
      <c r="L603" t="s">
        <v>175</v>
      </c>
    </row>
    <row r="604" spans="1:12" x14ac:dyDescent="0.25">
      <c r="A604">
        <v>604</v>
      </c>
      <c r="B604" t="s">
        <v>1010</v>
      </c>
      <c r="C604" t="s">
        <v>38</v>
      </c>
      <c r="D604" t="s">
        <v>1013</v>
      </c>
      <c r="E604" s="2">
        <v>14800000</v>
      </c>
      <c r="F604" s="3">
        <v>735.79380000000003</v>
      </c>
      <c r="G604" t="s">
        <v>12</v>
      </c>
      <c r="H604">
        <v>102</v>
      </c>
      <c r="I604">
        <v>20</v>
      </c>
      <c r="J604">
        <v>2014</v>
      </c>
      <c r="K604">
        <v>1</v>
      </c>
      <c r="L604" t="s">
        <v>1011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8F673-AEEB-46DD-AAE1-F615ABEA79FA}">
  <dimension ref="A3:L29"/>
  <sheetViews>
    <sheetView workbookViewId="0">
      <selection activeCell="C12" sqref="C12"/>
    </sheetView>
  </sheetViews>
  <sheetFormatPr defaultRowHeight="15" x14ac:dyDescent="0.25"/>
  <cols>
    <col min="1" max="1" width="28.140625" bestFit="1" customWidth="1"/>
    <col min="2" max="2" width="12.5703125" bestFit="1" customWidth="1"/>
    <col min="3" max="3" width="16.85546875" bestFit="1" customWidth="1"/>
  </cols>
  <sheetData>
    <row r="3" spans="1:12" x14ac:dyDescent="0.25">
      <c r="A3" s="4" t="s">
        <v>1030</v>
      </c>
      <c r="B3" t="s">
        <v>1029</v>
      </c>
      <c r="C3" t="s">
        <v>1031</v>
      </c>
    </row>
    <row r="4" spans="1:12" x14ac:dyDescent="0.25">
      <c r="A4" s="5" t="s">
        <v>24</v>
      </c>
      <c r="B4" s="2">
        <v>62218367.346938774</v>
      </c>
      <c r="C4">
        <v>49</v>
      </c>
    </row>
    <row r="5" spans="1:12" x14ac:dyDescent="0.25">
      <c r="A5" s="5" t="s">
        <v>87</v>
      </c>
      <c r="B5" s="2">
        <v>52165000</v>
      </c>
      <c r="C5">
        <v>20</v>
      </c>
    </row>
    <row r="6" spans="1:12" x14ac:dyDescent="0.25">
      <c r="A6" s="5" t="s">
        <v>81</v>
      </c>
      <c r="B6" s="2">
        <v>48242857.142857142</v>
      </c>
      <c r="C6">
        <v>14</v>
      </c>
    </row>
    <row r="7" spans="1:12" x14ac:dyDescent="0.25">
      <c r="A7" s="5" t="s">
        <v>7</v>
      </c>
      <c r="B7" s="2">
        <v>36917647.058823526</v>
      </c>
      <c r="C7">
        <v>34</v>
      </c>
    </row>
    <row r="8" spans="1:12" x14ac:dyDescent="0.25">
      <c r="A8" s="5" t="s">
        <v>84</v>
      </c>
      <c r="B8" s="2">
        <v>32302325.58139535</v>
      </c>
      <c r="C8">
        <v>43</v>
      </c>
      <c r="L8" t="s">
        <v>1032</v>
      </c>
    </row>
    <row r="9" spans="1:12" x14ac:dyDescent="0.25">
      <c r="A9" s="5" t="s">
        <v>51</v>
      </c>
      <c r="B9" s="2">
        <v>24863636.363636363</v>
      </c>
      <c r="C9">
        <v>22</v>
      </c>
    </row>
    <row r="10" spans="1:12" x14ac:dyDescent="0.25">
      <c r="A10" s="5" t="s">
        <v>16</v>
      </c>
      <c r="B10" s="2">
        <v>23556000</v>
      </c>
      <c r="C10">
        <v>50</v>
      </c>
    </row>
    <row r="11" spans="1:12" x14ac:dyDescent="0.25">
      <c r="A11" s="5" t="s">
        <v>148</v>
      </c>
      <c r="B11" s="2">
        <v>21350000</v>
      </c>
      <c r="C11">
        <v>6</v>
      </c>
    </row>
    <row r="12" spans="1:12" x14ac:dyDescent="0.25">
      <c r="A12" s="5" t="s">
        <v>146</v>
      </c>
      <c r="B12" s="2">
        <v>20420000</v>
      </c>
      <c r="C12">
        <v>5</v>
      </c>
    </row>
    <row r="13" spans="1:12" x14ac:dyDescent="0.25">
      <c r="A13" s="5" t="s">
        <v>3</v>
      </c>
      <c r="B13" s="2">
        <v>18406451.612903226</v>
      </c>
      <c r="C13">
        <v>62</v>
      </c>
    </row>
    <row r="14" spans="1:12" x14ac:dyDescent="0.25">
      <c r="A14" s="5" t="s">
        <v>1026</v>
      </c>
      <c r="B14" s="2">
        <v>34451803.278688528</v>
      </c>
      <c r="C14">
        <v>305</v>
      </c>
    </row>
    <row r="18" spans="1:2" x14ac:dyDescent="0.25">
      <c r="A18" s="4" t="s">
        <v>1030</v>
      </c>
      <c r="B18" t="s">
        <v>1031</v>
      </c>
    </row>
    <row r="19" spans="1:2" x14ac:dyDescent="0.25">
      <c r="A19" s="5" t="s">
        <v>426</v>
      </c>
      <c r="B19">
        <v>3</v>
      </c>
    </row>
    <row r="20" spans="1:2" x14ac:dyDescent="0.25">
      <c r="A20" s="5" t="s">
        <v>101</v>
      </c>
      <c r="B20">
        <v>3</v>
      </c>
    </row>
    <row r="21" spans="1:2" x14ac:dyDescent="0.25">
      <c r="A21" s="5" t="s">
        <v>124</v>
      </c>
      <c r="B21">
        <v>4</v>
      </c>
    </row>
    <row r="22" spans="1:2" x14ac:dyDescent="0.25">
      <c r="A22" s="5" t="s">
        <v>146</v>
      </c>
      <c r="B22">
        <v>5</v>
      </c>
    </row>
    <row r="23" spans="1:2" x14ac:dyDescent="0.25">
      <c r="A23" s="5" t="s">
        <v>69</v>
      </c>
      <c r="B23">
        <v>6</v>
      </c>
    </row>
    <row r="24" spans="1:2" x14ac:dyDescent="0.25">
      <c r="A24" s="5" t="s">
        <v>148</v>
      </c>
      <c r="B24">
        <v>6</v>
      </c>
    </row>
    <row r="25" spans="1:2" x14ac:dyDescent="0.25">
      <c r="A25" s="5" t="s">
        <v>32</v>
      </c>
      <c r="B25">
        <v>9</v>
      </c>
    </row>
    <row r="26" spans="1:2" x14ac:dyDescent="0.25">
      <c r="A26" s="5" t="s">
        <v>139</v>
      </c>
      <c r="B26">
        <v>10</v>
      </c>
    </row>
    <row r="27" spans="1:2" x14ac:dyDescent="0.25">
      <c r="A27" s="5" t="s">
        <v>261</v>
      </c>
      <c r="B27">
        <v>11</v>
      </c>
    </row>
    <row r="28" spans="1:2" x14ac:dyDescent="0.25">
      <c r="A28" s="5" t="s">
        <v>130</v>
      </c>
      <c r="B28">
        <v>11</v>
      </c>
    </row>
    <row r="29" spans="1:2" x14ac:dyDescent="0.25">
      <c r="A29" s="5" t="s">
        <v>1026</v>
      </c>
      <c r="B29">
        <v>68</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059D-CDF7-42E5-9F12-7A9261285515}">
  <dimension ref="B2:F101"/>
  <sheetViews>
    <sheetView workbookViewId="0">
      <selection activeCell="B6" sqref="B6"/>
    </sheetView>
  </sheetViews>
  <sheetFormatPr defaultRowHeight="15" x14ac:dyDescent="0.25"/>
  <cols>
    <col min="2" max="2" width="34.85546875" bestFit="1" customWidth="1"/>
    <col min="3" max="3" width="16.85546875" bestFit="1" customWidth="1"/>
    <col min="4" max="4" width="15.85546875" bestFit="1" customWidth="1"/>
    <col min="5" max="5" width="17.42578125" customWidth="1"/>
    <col min="6" max="6" width="16.85546875" customWidth="1"/>
  </cols>
  <sheetData>
    <row r="2" spans="2:6" x14ac:dyDescent="0.25">
      <c r="B2" s="4" t="s">
        <v>1030</v>
      </c>
      <c r="C2" t="s">
        <v>1031</v>
      </c>
      <c r="D2" t="s">
        <v>1027</v>
      </c>
      <c r="E2" t="s">
        <v>1033</v>
      </c>
      <c r="F2" t="s">
        <v>1034</v>
      </c>
    </row>
    <row r="3" spans="2:6" x14ac:dyDescent="0.25">
      <c r="B3" s="5" t="s">
        <v>73</v>
      </c>
      <c r="C3">
        <v>72</v>
      </c>
      <c r="D3" s="2">
        <v>907900000</v>
      </c>
      <c r="E3" s="1">
        <f>GETPIVOTDATA("Sum of Revenue",$B$2)/GETPIVOTDATA("Count of Industry",$B$2)</f>
        <v>27770289.855072465</v>
      </c>
      <c r="F3" s="2">
        <f>MEDIAN(D3:D7)</f>
        <v>907900000</v>
      </c>
    </row>
    <row r="4" spans="2:6" x14ac:dyDescent="0.25">
      <c r="B4" s="5" t="s">
        <v>3</v>
      </c>
      <c r="C4">
        <v>62</v>
      </c>
      <c r="D4" s="2">
        <v>1141200000</v>
      </c>
    </row>
    <row r="5" spans="2:6" x14ac:dyDescent="0.25">
      <c r="B5" s="5" t="s">
        <v>16</v>
      </c>
      <c r="C5">
        <v>50</v>
      </c>
      <c r="D5" s="2">
        <v>1177800000</v>
      </c>
      <c r="E5" t="s">
        <v>1035</v>
      </c>
    </row>
    <row r="6" spans="2:6" x14ac:dyDescent="0.25">
      <c r="B6" s="6" t="s">
        <v>992</v>
      </c>
      <c r="C6">
        <v>1</v>
      </c>
      <c r="D6" s="2">
        <v>4099999.9999999995</v>
      </c>
    </row>
    <row r="7" spans="2:6" x14ac:dyDescent="0.25">
      <c r="B7" s="6" t="s">
        <v>957</v>
      </c>
      <c r="C7">
        <v>1</v>
      </c>
      <c r="D7" s="2">
        <v>16700000</v>
      </c>
    </row>
    <row r="8" spans="2:6" x14ac:dyDescent="0.25">
      <c r="B8" s="6" t="s">
        <v>26</v>
      </c>
      <c r="C8">
        <v>1</v>
      </c>
      <c r="D8" s="2">
        <v>20500000</v>
      </c>
    </row>
    <row r="9" spans="2:6" x14ac:dyDescent="0.25">
      <c r="B9" s="6" t="s">
        <v>904</v>
      </c>
      <c r="C9">
        <v>1</v>
      </c>
      <c r="D9" s="2">
        <v>4500000</v>
      </c>
    </row>
    <row r="10" spans="2:6" x14ac:dyDescent="0.25">
      <c r="B10" s="6" t="s">
        <v>591</v>
      </c>
      <c r="C10">
        <v>1</v>
      </c>
      <c r="D10" s="2">
        <v>5800000</v>
      </c>
    </row>
    <row r="11" spans="2:6" x14ac:dyDescent="0.25">
      <c r="B11" s="6" t="s">
        <v>343</v>
      </c>
      <c r="C11">
        <v>1</v>
      </c>
      <c r="D11" s="2">
        <v>100800000</v>
      </c>
    </row>
    <row r="12" spans="2:6" x14ac:dyDescent="0.25">
      <c r="B12" s="6" t="s">
        <v>675</v>
      </c>
      <c r="C12">
        <v>1</v>
      </c>
      <c r="D12" s="2">
        <v>137200000</v>
      </c>
    </row>
    <row r="13" spans="2:6" x14ac:dyDescent="0.25">
      <c r="B13" s="6" t="s">
        <v>287</v>
      </c>
      <c r="C13">
        <v>1</v>
      </c>
      <c r="D13" s="2">
        <v>12400000</v>
      </c>
    </row>
    <row r="14" spans="2:6" x14ac:dyDescent="0.25">
      <c r="B14" s="6" t="s">
        <v>473</v>
      </c>
      <c r="C14">
        <v>1</v>
      </c>
      <c r="D14" s="2">
        <v>26300000</v>
      </c>
    </row>
    <row r="15" spans="2:6" x14ac:dyDescent="0.25">
      <c r="B15" s="6" t="s">
        <v>467</v>
      </c>
      <c r="C15">
        <v>1</v>
      </c>
      <c r="D15" s="2">
        <v>6300000</v>
      </c>
    </row>
    <row r="16" spans="2:6" x14ac:dyDescent="0.25">
      <c r="B16" s="6" t="s">
        <v>928</v>
      </c>
      <c r="C16">
        <v>1</v>
      </c>
      <c r="D16" s="2">
        <v>31600000</v>
      </c>
    </row>
    <row r="17" spans="2:4" x14ac:dyDescent="0.25">
      <c r="B17" s="6" t="s">
        <v>791</v>
      </c>
      <c r="C17">
        <v>1</v>
      </c>
      <c r="D17" s="2">
        <v>159700000</v>
      </c>
    </row>
    <row r="18" spans="2:4" x14ac:dyDescent="0.25">
      <c r="B18" s="6" t="s">
        <v>565</v>
      </c>
      <c r="C18">
        <v>1</v>
      </c>
      <c r="D18" s="2">
        <v>2700000</v>
      </c>
    </row>
    <row r="19" spans="2:4" x14ac:dyDescent="0.25">
      <c r="B19" s="6" t="s">
        <v>213</v>
      </c>
      <c r="C19">
        <v>1</v>
      </c>
      <c r="D19" s="2">
        <v>104100000</v>
      </c>
    </row>
    <row r="20" spans="2:4" x14ac:dyDescent="0.25">
      <c r="B20" s="6" t="s">
        <v>941</v>
      </c>
      <c r="C20">
        <v>1</v>
      </c>
      <c r="D20" s="2">
        <v>6000000</v>
      </c>
    </row>
    <row r="21" spans="2:4" x14ac:dyDescent="0.25">
      <c r="B21" s="6" t="s">
        <v>110</v>
      </c>
      <c r="C21">
        <v>1</v>
      </c>
      <c r="D21" s="2">
        <v>24000000</v>
      </c>
    </row>
    <row r="22" spans="2:4" x14ac:dyDescent="0.25">
      <c r="B22" s="6" t="s">
        <v>504</v>
      </c>
      <c r="C22">
        <v>1</v>
      </c>
      <c r="D22" s="2">
        <v>4500000</v>
      </c>
    </row>
    <row r="23" spans="2:4" x14ac:dyDescent="0.25">
      <c r="B23" s="6" t="s">
        <v>632</v>
      </c>
      <c r="C23">
        <v>1</v>
      </c>
      <c r="D23" s="2">
        <v>64300000</v>
      </c>
    </row>
    <row r="24" spans="2:4" x14ac:dyDescent="0.25">
      <c r="B24" s="6" t="s">
        <v>344</v>
      </c>
      <c r="C24">
        <v>1</v>
      </c>
      <c r="D24" s="2">
        <v>3000000</v>
      </c>
    </row>
    <row r="25" spans="2:4" x14ac:dyDescent="0.25">
      <c r="B25" s="6" t="s">
        <v>62</v>
      </c>
      <c r="C25">
        <v>1</v>
      </c>
      <c r="D25" s="2">
        <v>9600000</v>
      </c>
    </row>
    <row r="26" spans="2:4" x14ac:dyDescent="0.25">
      <c r="B26" s="6" t="s">
        <v>14</v>
      </c>
      <c r="C26">
        <v>1</v>
      </c>
      <c r="D26" s="2">
        <v>32400000</v>
      </c>
    </row>
    <row r="27" spans="2:4" x14ac:dyDescent="0.25">
      <c r="B27" s="6" t="s">
        <v>299</v>
      </c>
      <c r="C27">
        <v>1</v>
      </c>
      <c r="D27" s="2">
        <v>3100000</v>
      </c>
    </row>
    <row r="28" spans="2:4" x14ac:dyDescent="0.25">
      <c r="B28" s="6" t="s">
        <v>487</v>
      </c>
      <c r="C28">
        <v>1</v>
      </c>
      <c r="D28" s="2">
        <v>3100000</v>
      </c>
    </row>
    <row r="29" spans="2:4" x14ac:dyDescent="0.25">
      <c r="B29" s="6" t="s">
        <v>408</v>
      </c>
      <c r="C29">
        <v>1</v>
      </c>
      <c r="D29" s="2">
        <v>37500000</v>
      </c>
    </row>
    <row r="30" spans="2:4" x14ac:dyDescent="0.25">
      <c r="B30" s="6" t="s">
        <v>498</v>
      </c>
      <c r="C30">
        <v>1</v>
      </c>
      <c r="D30" s="2">
        <v>3700000</v>
      </c>
    </row>
    <row r="31" spans="2:4" x14ac:dyDescent="0.25">
      <c r="B31" s="6" t="s">
        <v>906</v>
      </c>
      <c r="C31">
        <v>1</v>
      </c>
      <c r="D31" s="2">
        <v>4800000</v>
      </c>
    </row>
    <row r="32" spans="2:4" x14ac:dyDescent="0.25">
      <c r="B32" s="6" t="s">
        <v>334</v>
      </c>
      <c r="C32">
        <v>1</v>
      </c>
      <c r="D32" s="2">
        <v>3000000</v>
      </c>
    </row>
    <row r="33" spans="2:4" x14ac:dyDescent="0.25">
      <c r="B33" s="6" t="s">
        <v>40</v>
      </c>
      <c r="C33">
        <v>1</v>
      </c>
      <c r="D33" s="2">
        <v>13900000</v>
      </c>
    </row>
    <row r="34" spans="2:4" x14ac:dyDescent="0.25">
      <c r="B34" s="6" t="s">
        <v>161</v>
      </c>
      <c r="C34">
        <v>1</v>
      </c>
      <c r="D34" s="2">
        <v>25900000</v>
      </c>
    </row>
    <row r="35" spans="2:4" x14ac:dyDescent="0.25">
      <c r="B35" s="6" t="s">
        <v>271</v>
      </c>
      <c r="C35">
        <v>1</v>
      </c>
      <c r="D35" s="2">
        <v>79000000</v>
      </c>
    </row>
    <row r="36" spans="2:4" x14ac:dyDescent="0.25">
      <c r="B36" s="6" t="s">
        <v>956</v>
      </c>
      <c r="C36">
        <v>1</v>
      </c>
      <c r="D36" s="2">
        <v>77400000</v>
      </c>
    </row>
    <row r="37" spans="2:4" x14ac:dyDescent="0.25">
      <c r="B37" s="6" t="s">
        <v>915</v>
      </c>
      <c r="C37">
        <v>1</v>
      </c>
      <c r="D37" s="2">
        <v>7900000</v>
      </c>
    </row>
    <row r="38" spans="2:4" x14ac:dyDescent="0.25">
      <c r="B38" s="6" t="s">
        <v>655</v>
      </c>
      <c r="C38">
        <v>1</v>
      </c>
      <c r="D38" s="2">
        <v>8800000</v>
      </c>
    </row>
    <row r="39" spans="2:4" x14ac:dyDescent="0.25">
      <c r="B39" s="6" t="s">
        <v>353</v>
      </c>
      <c r="C39">
        <v>1</v>
      </c>
      <c r="D39" s="2">
        <v>5700000</v>
      </c>
    </row>
    <row r="40" spans="2:4" x14ac:dyDescent="0.25">
      <c r="B40" s="6" t="s">
        <v>95</v>
      </c>
      <c r="C40">
        <v>1</v>
      </c>
      <c r="D40" s="2">
        <v>10200000</v>
      </c>
    </row>
    <row r="41" spans="2:4" x14ac:dyDescent="0.25">
      <c r="B41" s="6" t="s">
        <v>184</v>
      </c>
      <c r="C41">
        <v>1</v>
      </c>
      <c r="D41" s="2">
        <v>4700000</v>
      </c>
    </row>
    <row r="42" spans="2:4" x14ac:dyDescent="0.25">
      <c r="B42" s="6" t="s">
        <v>882</v>
      </c>
      <c r="C42">
        <v>1</v>
      </c>
      <c r="D42" s="2">
        <v>2200000</v>
      </c>
    </row>
    <row r="43" spans="2:4" x14ac:dyDescent="0.25">
      <c r="B43" s="6" t="s">
        <v>154</v>
      </c>
      <c r="C43">
        <v>1</v>
      </c>
      <c r="D43" s="2">
        <v>8000000</v>
      </c>
    </row>
    <row r="44" spans="2:4" x14ac:dyDescent="0.25">
      <c r="B44" s="6" t="s">
        <v>636</v>
      </c>
      <c r="C44">
        <v>1</v>
      </c>
      <c r="D44" s="2">
        <v>10400000</v>
      </c>
    </row>
    <row r="45" spans="2:4" x14ac:dyDescent="0.25">
      <c r="B45" s="6" t="s">
        <v>583</v>
      </c>
      <c r="C45">
        <v>1</v>
      </c>
      <c r="D45" s="2">
        <v>5300000</v>
      </c>
    </row>
    <row r="46" spans="2:4" x14ac:dyDescent="0.25">
      <c r="B46" s="6" t="s">
        <v>1002</v>
      </c>
      <c r="C46">
        <v>1</v>
      </c>
      <c r="D46" s="2">
        <v>14900000</v>
      </c>
    </row>
    <row r="47" spans="2:4" x14ac:dyDescent="0.25">
      <c r="B47" s="6" t="s">
        <v>363</v>
      </c>
      <c r="C47">
        <v>1</v>
      </c>
      <c r="D47" s="2">
        <v>7000000</v>
      </c>
    </row>
    <row r="48" spans="2:4" x14ac:dyDescent="0.25">
      <c r="B48" s="6" t="s">
        <v>158</v>
      </c>
      <c r="C48">
        <v>1</v>
      </c>
      <c r="D48" s="2">
        <v>7800000</v>
      </c>
    </row>
    <row r="49" spans="2:4" x14ac:dyDescent="0.25">
      <c r="B49" s="6" t="s">
        <v>689</v>
      </c>
      <c r="C49">
        <v>1</v>
      </c>
      <c r="D49" s="2">
        <v>12800000</v>
      </c>
    </row>
    <row r="50" spans="2:4" x14ac:dyDescent="0.25">
      <c r="B50" s="6" t="s">
        <v>707</v>
      </c>
      <c r="C50">
        <v>1</v>
      </c>
      <c r="D50" s="2">
        <v>3000000</v>
      </c>
    </row>
    <row r="51" spans="2:4" x14ac:dyDescent="0.25">
      <c r="B51" s="6" t="s">
        <v>887</v>
      </c>
      <c r="C51">
        <v>1</v>
      </c>
      <c r="D51" s="2">
        <v>3800000</v>
      </c>
    </row>
    <row r="52" spans="2:4" x14ac:dyDescent="0.25">
      <c r="B52" s="6" t="s">
        <v>198</v>
      </c>
      <c r="C52">
        <v>1</v>
      </c>
      <c r="D52" s="2">
        <v>4700000</v>
      </c>
    </row>
    <row r="53" spans="2:4" x14ac:dyDescent="0.25">
      <c r="B53" s="6" t="s">
        <v>295</v>
      </c>
      <c r="C53">
        <v>1</v>
      </c>
      <c r="D53" s="2">
        <v>6500000</v>
      </c>
    </row>
    <row r="54" spans="2:4" x14ac:dyDescent="0.25">
      <c r="B54" s="6" t="s">
        <v>59</v>
      </c>
      <c r="C54">
        <v>1</v>
      </c>
      <c r="D54" s="2">
        <v>19000000</v>
      </c>
    </row>
    <row r="55" spans="2:4" x14ac:dyDescent="0.25">
      <c r="B55" s="6" t="s">
        <v>497</v>
      </c>
      <c r="C55">
        <v>1</v>
      </c>
      <c r="D55" s="2">
        <v>7200000</v>
      </c>
    </row>
    <row r="56" spans="2:4" x14ac:dyDescent="0.25">
      <c r="B56" s="5" t="s">
        <v>24</v>
      </c>
      <c r="C56">
        <v>49</v>
      </c>
      <c r="D56" s="2">
        <v>3048700000</v>
      </c>
    </row>
    <row r="57" spans="2:4" x14ac:dyDescent="0.25">
      <c r="B57" s="5" t="s">
        <v>84</v>
      </c>
      <c r="C57">
        <v>43</v>
      </c>
      <c r="D57" s="2">
        <v>1389000000</v>
      </c>
    </row>
    <row r="58" spans="2:4" x14ac:dyDescent="0.25">
      <c r="B58" s="6" t="s">
        <v>347</v>
      </c>
      <c r="C58">
        <v>1</v>
      </c>
      <c r="D58" s="2">
        <v>53100000</v>
      </c>
    </row>
    <row r="59" spans="2:4" x14ac:dyDescent="0.25">
      <c r="B59" s="6" t="s">
        <v>924</v>
      </c>
      <c r="C59">
        <v>1</v>
      </c>
      <c r="D59" s="2">
        <v>8100000</v>
      </c>
    </row>
    <row r="60" spans="2:4" x14ac:dyDescent="0.25">
      <c r="B60" s="6" t="s">
        <v>303</v>
      </c>
      <c r="C60">
        <v>1</v>
      </c>
      <c r="D60" s="2">
        <v>25100000</v>
      </c>
    </row>
    <row r="61" spans="2:4" x14ac:dyDescent="0.25">
      <c r="B61" s="6" t="s">
        <v>804</v>
      </c>
      <c r="C61">
        <v>1</v>
      </c>
      <c r="D61" s="2">
        <v>3200000</v>
      </c>
    </row>
    <row r="62" spans="2:4" x14ac:dyDescent="0.25">
      <c r="B62" s="6" t="s">
        <v>176</v>
      </c>
      <c r="C62">
        <v>1</v>
      </c>
      <c r="D62" s="2">
        <v>12800000</v>
      </c>
    </row>
    <row r="63" spans="2:4" x14ac:dyDescent="0.25">
      <c r="B63" s="6" t="s">
        <v>248</v>
      </c>
      <c r="C63">
        <v>1</v>
      </c>
      <c r="D63" s="2">
        <v>59300000</v>
      </c>
    </row>
    <row r="64" spans="2:4" x14ac:dyDescent="0.25">
      <c r="B64" s="6" t="s">
        <v>713</v>
      </c>
      <c r="C64">
        <v>1</v>
      </c>
      <c r="D64" s="2">
        <v>9500000</v>
      </c>
    </row>
    <row r="65" spans="2:4" x14ac:dyDescent="0.25">
      <c r="B65" s="6" t="s">
        <v>221</v>
      </c>
      <c r="C65">
        <v>1</v>
      </c>
      <c r="D65" s="2">
        <v>6400000</v>
      </c>
    </row>
    <row r="66" spans="2:4" x14ac:dyDescent="0.25">
      <c r="B66" s="6" t="s">
        <v>934</v>
      </c>
      <c r="C66">
        <v>1</v>
      </c>
      <c r="D66" s="2">
        <v>10700000</v>
      </c>
    </row>
    <row r="67" spans="2:4" x14ac:dyDescent="0.25">
      <c r="B67" s="6" t="s">
        <v>973</v>
      </c>
      <c r="C67">
        <v>1</v>
      </c>
      <c r="D67" s="2">
        <v>12500000</v>
      </c>
    </row>
    <row r="68" spans="2:4" x14ac:dyDescent="0.25">
      <c r="B68" s="6" t="s">
        <v>964</v>
      </c>
      <c r="C68">
        <v>1</v>
      </c>
      <c r="D68" s="2">
        <v>46400000</v>
      </c>
    </row>
    <row r="69" spans="2:4" x14ac:dyDescent="0.25">
      <c r="B69" s="6" t="s">
        <v>383</v>
      </c>
      <c r="C69">
        <v>1</v>
      </c>
      <c r="D69" s="2">
        <v>24700000</v>
      </c>
    </row>
    <row r="70" spans="2:4" x14ac:dyDescent="0.25">
      <c r="B70" s="6" t="s">
        <v>972</v>
      </c>
      <c r="C70">
        <v>1</v>
      </c>
      <c r="D70" s="2">
        <v>16399999.999999998</v>
      </c>
    </row>
    <row r="71" spans="2:4" x14ac:dyDescent="0.25">
      <c r="B71" s="6" t="s">
        <v>741</v>
      </c>
      <c r="C71">
        <v>1</v>
      </c>
      <c r="D71" s="2">
        <v>9800000</v>
      </c>
    </row>
    <row r="72" spans="2:4" x14ac:dyDescent="0.25">
      <c r="B72" s="6" t="s">
        <v>308</v>
      </c>
      <c r="C72">
        <v>1</v>
      </c>
      <c r="D72" s="2">
        <v>5400000</v>
      </c>
    </row>
    <row r="73" spans="2:4" x14ac:dyDescent="0.25">
      <c r="B73" s="6" t="s">
        <v>83</v>
      </c>
      <c r="C73">
        <v>1</v>
      </c>
      <c r="D73" s="2">
        <v>15800000</v>
      </c>
    </row>
    <row r="74" spans="2:4" x14ac:dyDescent="0.25">
      <c r="B74" s="6" t="s">
        <v>983</v>
      </c>
      <c r="C74">
        <v>1</v>
      </c>
      <c r="D74" s="2">
        <v>17100000</v>
      </c>
    </row>
    <row r="75" spans="2:4" x14ac:dyDescent="0.25">
      <c r="B75" s="6" t="s">
        <v>944</v>
      </c>
      <c r="C75">
        <v>1</v>
      </c>
      <c r="D75" s="2">
        <v>9200000</v>
      </c>
    </row>
    <row r="76" spans="2:4" x14ac:dyDescent="0.25">
      <c r="B76" s="6" t="s">
        <v>963</v>
      </c>
      <c r="C76">
        <v>1</v>
      </c>
      <c r="D76" s="2">
        <v>70700000</v>
      </c>
    </row>
    <row r="77" spans="2:4" x14ac:dyDescent="0.25">
      <c r="B77" s="6" t="s">
        <v>619</v>
      </c>
      <c r="C77">
        <v>1</v>
      </c>
      <c r="D77" s="2">
        <v>3700000</v>
      </c>
    </row>
    <row r="78" spans="2:4" x14ac:dyDescent="0.25">
      <c r="B78" s="6" t="s">
        <v>240</v>
      </c>
      <c r="C78">
        <v>1</v>
      </c>
      <c r="D78" s="2">
        <v>33000000</v>
      </c>
    </row>
    <row r="79" spans="2:4" x14ac:dyDescent="0.25">
      <c r="B79" s="6" t="s">
        <v>530</v>
      </c>
      <c r="C79">
        <v>1</v>
      </c>
      <c r="D79" s="2">
        <v>5500000</v>
      </c>
    </row>
    <row r="80" spans="2:4" x14ac:dyDescent="0.25">
      <c r="B80" s="6" t="s">
        <v>392</v>
      </c>
      <c r="C80">
        <v>1</v>
      </c>
      <c r="D80" s="2">
        <v>20800000</v>
      </c>
    </row>
    <row r="81" spans="2:4" x14ac:dyDescent="0.25">
      <c r="B81" s="6" t="s">
        <v>897</v>
      </c>
      <c r="C81">
        <v>1</v>
      </c>
      <c r="D81" s="2">
        <v>2500000</v>
      </c>
    </row>
    <row r="82" spans="2:4" x14ac:dyDescent="0.25">
      <c r="B82" s="6" t="s">
        <v>300</v>
      </c>
      <c r="C82">
        <v>1</v>
      </c>
      <c r="D82" s="2">
        <v>7100000</v>
      </c>
    </row>
    <row r="83" spans="2:4" x14ac:dyDescent="0.25">
      <c r="B83" s="6" t="s">
        <v>1003</v>
      </c>
      <c r="C83">
        <v>1</v>
      </c>
      <c r="D83" s="2">
        <v>4000000</v>
      </c>
    </row>
    <row r="84" spans="2:4" x14ac:dyDescent="0.25">
      <c r="B84" s="6" t="s">
        <v>446</v>
      </c>
      <c r="C84">
        <v>1</v>
      </c>
      <c r="D84" s="2">
        <v>6600000</v>
      </c>
    </row>
    <row r="85" spans="2:4" x14ac:dyDescent="0.25">
      <c r="B85" s="6" t="s">
        <v>252</v>
      </c>
      <c r="C85">
        <v>1</v>
      </c>
      <c r="D85" s="2">
        <v>7800000</v>
      </c>
    </row>
    <row r="86" spans="2:4" x14ac:dyDescent="0.25">
      <c r="B86" s="6" t="s">
        <v>784</v>
      </c>
      <c r="C86">
        <v>1</v>
      </c>
      <c r="D86" s="2">
        <v>5900000</v>
      </c>
    </row>
    <row r="87" spans="2:4" x14ac:dyDescent="0.25">
      <c r="B87" s="6" t="s">
        <v>959</v>
      </c>
      <c r="C87">
        <v>1</v>
      </c>
      <c r="D87" s="2">
        <v>8900000</v>
      </c>
    </row>
    <row r="88" spans="2:4" x14ac:dyDescent="0.25">
      <c r="B88" s="6" t="s">
        <v>919</v>
      </c>
      <c r="C88">
        <v>1</v>
      </c>
      <c r="D88" s="2">
        <v>19000000</v>
      </c>
    </row>
    <row r="89" spans="2:4" x14ac:dyDescent="0.25">
      <c r="B89" s="6" t="s">
        <v>884</v>
      </c>
      <c r="C89">
        <v>1</v>
      </c>
      <c r="D89" s="2">
        <v>8700000</v>
      </c>
    </row>
    <row r="90" spans="2:4" x14ac:dyDescent="0.25">
      <c r="B90" s="6" t="s">
        <v>901</v>
      </c>
      <c r="C90">
        <v>1</v>
      </c>
      <c r="D90" s="2">
        <v>492500000</v>
      </c>
    </row>
    <row r="91" spans="2:4" x14ac:dyDescent="0.25">
      <c r="B91" s="6" t="s">
        <v>551</v>
      </c>
      <c r="C91">
        <v>1</v>
      </c>
      <c r="D91" s="2">
        <v>9800000</v>
      </c>
    </row>
    <row r="92" spans="2:4" x14ac:dyDescent="0.25">
      <c r="B92" s="6" t="s">
        <v>672</v>
      </c>
      <c r="C92">
        <v>1</v>
      </c>
      <c r="D92" s="2">
        <v>21700000</v>
      </c>
    </row>
    <row r="93" spans="2:4" x14ac:dyDescent="0.25">
      <c r="B93" s="6" t="s">
        <v>462</v>
      </c>
      <c r="C93">
        <v>1</v>
      </c>
      <c r="D93" s="2">
        <v>11100000</v>
      </c>
    </row>
    <row r="94" spans="2:4" x14ac:dyDescent="0.25">
      <c r="B94" s="6" t="s">
        <v>384</v>
      </c>
      <c r="C94">
        <v>1</v>
      </c>
      <c r="D94" s="2">
        <v>4500000</v>
      </c>
    </row>
    <row r="95" spans="2:4" x14ac:dyDescent="0.25">
      <c r="B95" s="6" t="s">
        <v>195</v>
      </c>
      <c r="C95">
        <v>1</v>
      </c>
      <c r="D95" s="2">
        <v>4300000</v>
      </c>
    </row>
    <row r="96" spans="2:4" x14ac:dyDescent="0.25">
      <c r="B96" s="6" t="s">
        <v>837</v>
      </c>
      <c r="C96">
        <v>1</v>
      </c>
      <c r="D96" s="2">
        <v>3500000</v>
      </c>
    </row>
    <row r="97" spans="2:4" x14ac:dyDescent="0.25">
      <c r="B97" s="6" t="s">
        <v>517</v>
      </c>
      <c r="C97">
        <v>1</v>
      </c>
      <c r="D97" s="2">
        <v>259399999.99999997</v>
      </c>
    </row>
    <row r="98" spans="2:4" x14ac:dyDescent="0.25">
      <c r="B98" s="6" t="s">
        <v>330</v>
      </c>
      <c r="C98">
        <v>1</v>
      </c>
      <c r="D98" s="2">
        <v>3000000</v>
      </c>
    </row>
    <row r="99" spans="2:4" x14ac:dyDescent="0.25">
      <c r="B99" s="6" t="s">
        <v>996</v>
      </c>
      <c r="C99">
        <v>1</v>
      </c>
      <c r="D99" s="2">
        <v>16900000</v>
      </c>
    </row>
    <row r="100" spans="2:4" x14ac:dyDescent="0.25">
      <c r="B100" s="6" t="s">
        <v>889</v>
      </c>
      <c r="C100">
        <v>1</v>
      </c>
      <c r="D100" s="2">
        <v>12600000</v>
      </c>
    </row>
    <row r="101" spans="2:4" x14ac:dyDescent="0.25">
      <c r="B101" s="5" t="s">
        <v>1026</v>
      </c>
      <c r="C101">
        <v>276</v>
      </c>
      <c r="D101" s="2">
        <v>7664600000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FBC99-5841-4E5B-B2F2-F6E9A8E5F079}">
  <dimension ref="B2:D20"/>
  <sheetViews>
    <sheetView workbookViewId="0">
      <selection activeCell="C17" sqref="C17"/>
    </sheetView>
  </sheetViews>
  <sheetFormatPr defaultRowHeight="15" x14ac:dyDescent="0.25"/>
  <cols>
    <col min="2" max="2" width="28.140625" bestFit="1" customWidth="1"/>
    <col min="3" max="3" width="16.85546875" bestFit="1" customWidth="1"/>
    <col min="4" max="4" width="20.140625" bestFit="1" customWidth="1"/>
  </cols>
  <sheetData>
    <row r="2" spans="2:4" x14ac:dyDescent="0.25">
      <c r="B2" s="4" t="s">
        <v>1030</v>
      </c>
      <c r="C2" t="s">
        <v>1031</v>
      </c>
      <c r="D2" t="s">
        <v>1037</v>
      </c>
    </row>
    <row r="3" spans="2:4" x14ac:dyDescent="0.25">
      <c r="B3" s="5" t="s">
        <v>73</v>
      </c>
      <c r="C3">
        <v>72</v>
      </c>
      <c r="D3" s="3">
        <v>2276.7958763888892</v>
      </c>
    </row>
    <row r="4" spans="2:4" x14ac:dyDescent="0.25">
      <c r="B4" s="5" t="s">
        <v>3</v>
      </c>
      <c r="C4">
        <v>62</v>
      </c>
      <c r="D4" s="3">
        <v>2557.7035725806463</v>
      </c>
    </row>
    <row r="5" spans="2:4" x14ac:dyDescent="0.25">
      <c r="B5" s="5" t="s">
        <v>16</v>
      </c>
      <c r="C5">
        <v>50</v>
      </c>
      <c r="D5" s="3">
        <v>3215.8810760000006</v>
      </c>
    </row>
    <row r="6" spans="2:4" x14ac:dyDescent="0.25">
      <c r="B6" s="5" t="s">
        <v>24</v>
      </c>
      <c r="C6">
        <v>49</v>
      </c>
      <c r="D6" s="3">
        <v>2802.4561285714271</v>
      </c>
    </row>
    <row r="7" spans="2:4" x14ac:dyDescent="0.25">
      <c r="B7" s="5" t="s">
        <v>84</v>
      </c>
      <c r="C7">
        <v>43</v>
      </c>
      <c r="D7" s="3">
        <v>1769.1183906976753</v>
      </c>
    </row>
    <row r="8" spans="2:4" x14ac:dyDescent="0.25">
      <c r="B8" s="5" t="s">
        <v>1026</v>
      </c>
      <c r="C8">
        <v>276</v>
      </c>
      <c r="D8" s="3">
        <v>2524.2515199275367</v>
      </c>
    </row>
    <row r="13" spans="2:4" x14ac:dyDescent="0.25">
      <c r="B13" s="4" t="s">
        <v>1030</v>
      </c>
      <c r="C13" t="s">
        <v>1031</v>
      </c>
      <c r="D13" t="s">
        <v>1037</v>
      </c>
    </row>
    <row r="14" spans="2:4" x14ac:dyDescent="0.25">
      <c r="B14" s="5" t="s">
        <v>426</v>
      </c>
      <c r="C14">
        <v>3</v>
      </c>
      <c r="D14" s="3">
        <v>1144.9315666666669</v>
      </c>
    </row>
    <row r="15" spans="2:4" x14ac:dyDescent="0.25">
      <c r="B15" s="5" t="s">
        <v>101</v>
      </c>
      <c r="C15">
        <v>3</v>
      </c>
      <c r="D15" s="3">
        <v>3075.2747666666669</v>
      </c>
    </row>
    <row r="16" spans="2:4" x14ac:dyDescent="0.25">
      <c r="B16" s="5" t="s">
        <v>124</v>
      </c>
      <c r="C16">
        <v>4</v>
      </c>
      <c r="D16" s="3">
        <v>2454.2280000000001</v>
      </c>
    </row>
    <row r="17" spans="2:4" x14ac:dyDescent="0.25">
      <c r="B17" s="5" t="s">
        <v>146</v>
      </c>
      <c r="C17">
        <v>5</v>
      </c>
      <c r="D17" s="3">
        <v>2815.1915199999999</v>
      </c>
    </row>
    <row r="18" spans="2:4" x14ac:dyDescent="0.25">
      <c r="B18" s="5" t="s">
        <v>69</v>
      </c>
      <c r="C18">
        <v>6</v>
      </c>
      <c r="D18" s="3">
        <v>2748.8197333333333</v>
      </c>
    </row>
    <row r="19" spans="2:4" x14ac:dyDescent="0.25">
      <c r="B19" s="5" t="s">
        <v>148</v>
      </c>
      <c r="C19">
        <v>6</v>
      </c>
      <c r="D19" s="3">
        <v>1775.6682000000001</v>
      </c>
    </row>
    <row r="20" spans="2:4" x14ac:dyDescent="0.25">
      <c r="B20" s="5" t="s">
        <v>1026</v>
      </c>
      <c r="C20">
        <v>27</v>
      </c>
      <c r="D20" s="3">
        <v>2359.2746740740736</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9DCC-6322-4AA8-A1AE-47F1F0EE443B}">
  <dimension ref="A1:C12"/>
  <sheetViews>
    <sheetView workbookViewId="0">
      <selection activeCell="C7" sqref="C7"/>
    </sheetView>
  </sheetViews>
  <sheetFormatPr defaultRowHeight="15" x14ac:dyDescent="0.25"/>
  <cols>
    <col min="1" max="1" width="13.42578125" bestFit="1" customWidth="1"/>
    <col min="2" max="2" width="10.7109375" bestFit="1" customWidth="1"/>
    <col min="3" max="3" width="12.5703125" bestFit="1" customWidth="1"/>
  </cols>
  <sheetData>
    <row r="1" spans="1:3" x14ac:dyDescent="0.25">
      <c r="A1" s="4" t="s">
        <v>1025</v>
      </c>
      <c r="B1" t="s">
        <v>1039</v>
      </c>
      <c r="C1" t="s">
        <v>1029</v>
      </c>
    </row>
    <row r="2" spans="1:3" x14ac:dyDescent="0.25">
      <c r="A2" s="5" t="s">
        <v>38</v>
      </c>
      <c r="B2">
        <v>104</v>
      </c>
      <c r="C2" s="2">
        <v>18604807.692307692</v>
      </c>
    </row>
    <row r="3" spans="1:3" x14ac:dyDescent="0.25">
      <c r="A3" s="5" t="s">
        <v>23</v>
      </c>
      <c r="B3">
        <v>50</v>
      </c>
      <c r="C3" s="2">
        <v>24776000</v>
      </c>
    </row>
    <row r="4" spans="1:3" x14ac:dyDescent="0.25">
      <c r="A4" s="5" t="s">
        <v>11</v>
      </c>
      <c r="B4">
        <v>49</v>
      </c>
      <c r="C4" s="2">
        <v>33993877.551020406</v>
      </c>
    </row>
    <row r="5" spans="1:3" x14ac:dyDescent="0.25">
      <c r="A5" s="5" t="s">
        <v>50</v>
      </c>
      <c r="B5">
        <v>47</v>
      </c>
      <c r="C5" s="2">
        <v>17653191.489361703</v>
      </c>
    </row>
    <row r="6" spans="1:3" x14ac:dyDescent="0.25">
      <c r="A6" s="5" t="s">
        <v>31</v>
      </c>
      <c r="B6">
        <v>38</v>
      </c>
      <c r="C6" s="2">
        <v>16071052.631578946</v>
      </c>
    </row>
    <row r="7" spans="1:3" x14ac:dyDescent="0.25">
      <c r="A7" s="5" t="s">
        <v>219</v>
      </c>
      <c r="B7">
        <v>32</v>
      </c>
      <c r="C7" s="2">
        <v>17687500</v>
      </c>
    </row>
    <row r="8" spans="1:3" x14ac:dyDescent="0.25">
      <c r="A8" s="5" t="s">
        <v>56</v>
      </c>
      <c r="B8">
        <v>28</v>
      </c>
      <c r="C8" s="2">
        <v>30282142.857142858</v>
      </c>
    </row>
    <row r="9" spans="1:3" x14ac:dyDescent="0.25">
      <c r="A9" s="5" t="s">
        <v>113</v>
      </c>
      <c r="B9">
        <v>26</v>
      </c>
      <c r="C9" s="2">
        <v>24115384.615384616</v>
      </c>
    </row>
    <row r="10" spans="1:3" x14ac:dyDescent="0.25">
      <c r="A10" s="5" t="s">
        <v>41</v>
      </c>
      <c r="B10">
        <v>16</v>
      </c>
      <c r="C10" s="2">
        <v>27431250</v>
      </c>
    </row>
    <row r="11" spans="1:3" x14ac:dyDescent="0.25">
      <c r="A11" s="5" t="s">
        <v>100</v>
      </c>
      <c r="B11">
        <v>15</v>
      </c>
      <c r="C11" s="2">
        <v>58253333.333333336</v>
      </c>
    </row>
    <row r="12" spans="1:3" x14ac:dyDescent="0.25">
      <c r="A12" s="5" t="s">
        <v>1026</v>
      </c>
      <c r="B12">
        <v>405</v>
      </c>
      <c r="C12" s="2">
        <v>23786172.839506172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4CC6-DE6B-48BB-BF93-8F2EB74EB77E}">
  <dimension ref="A1:E12"/>
  <sheetViews>
    <sheetView workbookViewId="0">
      <selection activeCell="F5" sqref="F5"/>
    </sheetView>
  </sheetViews>
  <sheetFormatPr defaultRowHeight="15" x14ac:dyDescent="0.25"/>
  <cols>
    <col min="1" max="1" width="13.42578125" bestFit="1" customWidth="1"/>
    <col min="2" max="2" width="10.7109375" bestFit="1" customWidth="1"/>
    <col min="3" max="3" width="20.140625" bestFit="1" customWidth="1"/>
  </cols>
  <sheetData>
    <row r="1" spans="1:5" x14ac:dyDescent="0.25">
      <c r="A1" s="4" t="s">
        <v>1025</v>
      </c>
      <c r="B1" t="s">
        <v>1039</v>
      </c>
      <c r="C1" t="s">
        <v>1037</v>
      </c>
    </row>
    <row r="2" spans="1:5" x14ac:dyDescent="0.25">
      <c r="A2" s="5" t="s">
        <v>38</v>
      </c>
      <c r="B2">
        <v>104</v>
      </c>
      <c r="C2" s="3">
        <v>2194.392603846155</v>
      </c>
    </row>
    <row r="3" spans="1:5" x14ac:dyDescent="0.25">
      <c r="A3" s="5" t="s">
        <v>23</v>
      </c>
      <c r="B3">
        <v>50</v>
      </c>
      <c r="C3" s="3">
        <v>2353.7570900000001</v>
      </c>
    </row>
    <row r="4" spans="1:5" x14ac:dyDescent="0.25">
      <c r="A4" s="5" t="s">
        <v>11</v>
      </c>
      <c r="B4">
        <v>49</v>
      </c>
      <c r="C4" s="3">
        <v>2533.5820183673468</v>
      </c>
    </row>
    <row r="5" spans="1:5" x14ac:dyDescent="0.25">
      <c r="A5" s="5" t="s">
        <v>50</v>
      </c>
      <c r="B5">
        <v>47</v>
      </c>
      <c r="C5" s="3">
        <v>2662.8982170212762</v>
      </c>
      <c r="E5" t="s">
        <v>1040</v>
      </c>
    </row>
    <row r="6" spans="1:5" x14ac:dyDescent="0.25">
      <c r="A6" s="5" t="s">
        <v>31</v>
      </c>
      <c r="B6">
        <v>38</v>
      </c>
      <c r="C6" s="3">
        <v>2338.339165789474</v>
      </c>
    </row>
    <row r="7" spans="1:5" x14ac:dyDescent="0.25">
      <c r="A7" s="5" t="s">
        <v>219</v>
      </c>
      <c r="B7">
        <v>32</v>
      </c>
      <c r="C7" s="3">
        <v>1548.126153125</v>
      </c>
    </row>
    <row r="8" spans="1:5" x14ac:dyDescent="0.25">
      <c r="A8" s="5" t="s">
        <v>56</v>
      </c>
      <c r="B8">
        <v>28</v>
      </c>
      <c r="C8" s="3">
        <v>2110.4005499999998</v>
      </c>
    </row>
    <row r="9" spans="1:5" x14ac:dyDescent="0.25">
      <c r="A9" s="5" t="s">
        <v>113</v>
      </c>
      <c r="B9">
        <v>26</v>
      </c>
      <c r="C9" s="3">
        <v>1990.5370692307695</v>
      </c>
    </row>
    <row r="10" spans="1:5" x14ac:dyDescent="0.25">
      <c r="A10" s="5" t="s">
        <v>41</v>
      </c>
      <c r="B10">
        <v>16</v>
      </c>
      <c r="C10" s="3">
        <v>2452.8512499999997</v>
      </c>
    </row>
    <row r="11" spans="1:5" x14ac:dyDescent="0.25">
      <c r="A11" s="5" t="s">
        <v>100</v>
      </c>
      <c r="B11">
        <v>15</v>
      </c>
      <c r="C11" s="3">
        <v>2181.7866600000002</v>
      </c>
    </row>
    <row r="12" spans="1:5" x14ac:dyDescent="0.25">
      <c r="A12" s="5" t="s">
        <v>1026</v>
      </c>
      <c r="B12">
        <v>405</v>
      </c>
      <c r="C12" s="3">
        <v>2262.7677646913594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997B0-2E91-4848-BF5D-91EECB0A0CF9}">
  <dimension ref="A1:E12"/>
  <sheetViews>
    <sheetView workbookViewId="0">
      <selection activeCell="E3" sqref="E3"/>
    </sheetView>
  </sheetViews>
  <sheetFormatPr defaultRowHeight="15" x14ac:dyDescent="0.25"/>
  <cols>
    <col min="1" max="1" width="28.140625" bestFit="1" customWidth="1"/>
    <col min="2" max="2" width="10.7109375" bestFit="1" customWidth="1"/>
    <col min="3" max="3" width="20.140625" bestFit="1" customWidth="1"/>
  </cols>
  <sheetData>
    <row r="1" spans="1:5" x14ac:dyDescent="0.25">
      <c r="A1" s="4" t="s">
        <v>1025</v>
      </c>
      <c r="B1" t="s">
        <v>1039</v>
      </c>
      <c r="C1" t="s">
        <v>1037</v>
      </c>
    </row>
    <row r="2" spans="1:5" x14ac:dyDescent="0.25">
      <c r="A2" s="5" t="s">
        <v>12</v>
      </c>
      <c r="B2">
        <v>16</v>
      </c>
      <c r="C2" s="3">
        <v>3882.3439249999997</v>
      </c>
      <c r="E2" t="s">
        <v>1045</v>
      </c>
    </row>
    <row r="3" spans="1:5" x14ac:dyDescent="0.25">
      <c r="A3" s="5" t="s">
        <v>16</v>
      </c>
      <c r="B3">
        <v>50</v>
      </c>
      <c r="C3" s="3">
        <v>3215.8810760000006</v>
      </c>
    </row>
    <row r="4" spans="1:5" x14ac:dyDescent="0.25">
      <c r="A4" s="5" t="s">
        <v>101</v>
      </c>
      <c r="B4">
        <v>3</v>
      </c>
      <c r="C4" s="3">
        <v>3075.2747666666669</v>
      </c>
    </row>
    <row r="5" spans="1:5" x14ac:dyDescent="0.25">
      <c r="A5" s="5" t="s">
        <v>7</v>
      </c>
      <c r="B5">
        <v>34</v>
      </c>
      <c r="C5" s="3">
        <v>3046.2509058823525</v>
      </c>
    </row>
    <row r="6" spans="1:5" x14ac:dyDescent="0.25">
      <c r="A6" s="5" t="s">
        <v>32</v>
      </c>
      <c r="B6">
        <v>9</v>
      </c>
      <c r="C6" s="3">
        <v>3025.5397222222223</v>
      </c>
    </row>
    <row r="7" spans="1:5" x14ac:dyDescent="0.25">
      <c r="A7" s="5" t="s">
        <v>146</v>
      </c>
      <c r="B7">
        <v>5</v>
      </c>
      <c r="C7" s="3">
        <v>2815.1915199999999</v>
      </c>
    </row>
    <row r="8" spans="1:5" x14ac:dyDescent="0.25">
      <c r="A8" s="5" t="s">
        <v>24</v>
      </c>
      <c r="B8">
        <v>49</v>
      </c>
      <c r="C8" s="3">
        <v>2802.4561285714271</v>
      </c>
    </row>
    <row r="9" spans="1:5" x14ac:dyDescent="0.25">
      <c r="A9" s="5" t="s">
        <v>51</v>
      </c>
      <c r="B9">
        <v>22</v>
      </c>
      <c r="C9" s="3">
        <v>2762.6833590909096</v>
      </c>
    </row>
    <row r="10" spans="1:5" x14ac:dyDescent="0.25">
      <c r="A10" s="5" t="s">
        <v>69</v>
      </c>
      <c r="B10">
        <v>6</v>
      </c>
      <c r="C10" s="3">
        <v>2748.8197333333333</v>
      </c>
    </row>
    <row r="11" spans="1:5" x14ac:dyDescent="0.25">
      <c r="A11" s="5" t="s">
        <v>3</v>
      </c>
      <c r="B11">
        <v>62</v>
      </c>
      <c r="C11" s="3">
        <v>2557.7035725806463</v>
      </c>
    </row>
    <row r="12" spans="1:5" x14ac:dyDescent="0.25">
      <c r="A12" s="5" t="s">
        <v>1026</v>
      </c>
      <c r="B12">
        <v>256</v>
      </c>
      <c r="C12" s="3">
        <v>2930.4126988281228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C8E3-C920-41D9-BF41-668697CEBBFB}">
  <dimension ref="A3:E34"/>
  <sheetViews>
    <sheetView workbookViewId="0">
      <selection activeCell="D11" sqref="D11"/>
    </sheetView>
  </sheetViews>
  <sheetFormatPr defaultRowHeight="15" x14ac:dyDescent="0.25"/>
  <cols>
    <col min="1" max="1" width="36.140625" bestFit="1" customWidth="1"/>
    <col min="2" max="2" width="16.85546875" bestFit="1" customWidth="1"/>
    <col min="3" max="3" width="15.42578125" bestFit="1" customWidth="1"/>
    <col min="4" max="4" width="15.85546875" bestFit="1" customWidth="1"/>
    <col min="5" max="5" width="28" bestFit="1" customWidth="1"/>
    <col min="6" max="6" width="15.42578125" bestFit="1" customWidth="1"/>
    <col min="7" max="7" width="15.85546875" bestFit="1" customWidth="1"/>
    <col min="8" max="8" width="19.42578125" bestFit="1" customWidth="1"/>
    <col min="9" max="9" width="15.42578125" bestFit="1" customWidth="1"/>
    <col min="10" max="10" width="15.85546875" bestFit="1" customWidth="1"/>
    <col min="11" max="11" width="16.85546875" bestFit="1" customWidth="1"/>
    <col min="12" max="12" width="15.42578125" bestFit="1" customWidth="1"/>
    <col min="13" max="13" width="15.85546875" bestFit="1" customWidth="1"/>
    <col min="14" max="14" width="29.28515625" bestFit="1" customWidth="1"/>
    <col min="15" max="15" width="15.42578125" bestFit="1" customWidth="1"/>
    <col min="16" max="16" width="15.85546875" bestFit="1" customWidth="1"/>
    <col min="17" max="17" width="16.85546875" bestFit="1" customWidth="1"/>
    <col min="18" max="18" width="15.42578125" bestFit="1" customWidth="1"/>
    <col min="19" max="19" width="15.85546875" bestFit="1" customWidth="1"/>
    <col min="20" max="20" width="16.85546875" bestFit="1" customWidth="1"/>
    <col min="21" max="21" width="15.42578125" bestFit="1" customWidth="1"/>
    <col min="22" max="22" width="15.85546875" bestFit="1" customWidth="1"/>
    <col min="23" max="23" width="16.85546875" bestFit="1" customWidth="1"/>
    <col min="24" max="24" width="15.42578125" bestFit="1" customWidth="1"/>
    <col min="25" max="25" width="15.85546875" bestFit="1" customWidth="1"/>
    <col min="26" max="26" width="22.7109375" bestFit="1" customWidth="1"/>
    <col min="27" max="27" width="15.42578125" bestFit="1" customWidth="1"/>
    <col min="28" max="28" width="15.85546875" bestFit="1" customWidth="1"/>
    <col min="29" max="29" width="17.42578125" bestFit="1" customWidth="1"/>
    <col min="30" max="30" width="15.42578125" bestFit="1" customWidth="1"/>
    <col min="31" max="31" width="15.85546875" bestFit="1" customWidth="1"/>
    <col min="32" max="32" width="16.85546875" bestFit="1" customWidth="1"/>
    <col min="33" max="33" width="15.42578125" bestFit="1" customWidth="1"/>
    <col min="34" max="34" width="15.85546875" bestFit="1" customWidth="1"/>
    <col min="35" max="35" width="20.7109375" bestFit="1" customWidth="1"/>
    <col min="36" max="36" width="15.42578125" bestFit="1" customWidth="1"/>
    <col min="37" max="37" width="15.85546875" bestFit="1" customWidth="1"/>
    <col min="38" max="38" width="16.85546875" bestFit="1" customWidth="1"/>
    <col min="39" max="39" width="15.42578125" bestFit="1" customWidth="1"/>
    <col min="40" max="40" width="15.85546875" bestFit="1" customWidth="1"/>
    <col min="41" max="41" width="17.7109375" bestFit="1" customWidth="1"/>
    <col min="42" max="42" width="15.42578125" bestFit="1" customWidth="1"/>
    <col min="43" max="43" width="15.85546875" bestFit="1" customWidth="1"/>
    <col min="44" max="44" width="16.85546875" bestFit="1" customWidth="1"/>
    <col min="45" max="45" width="15.42578125" bestFit="1" customWidth="1"/>
    <col min="46" max="46" width="15.85546875" bestFit="1" customWidth="1"/>
    <col min="47" max="47" width="16.85546875" bestFit="1" customWidth="1"/>
    <col min="48" max="48" width="15.42578125" bestFit="1" customWidth="1"/>
    <col min="49" max="49" width="15.85546875" bestFit="1" customWidth="1"/>
    <col min="50" max="50" width="16.85546875" bestFit="1" customWidth="1"/>
    <col min="51" max="51" width="15.42578125" bestFit="1" customWidth="1"/>
    <col min="52" max="52" width="15.85546875" bestFit="1" customWidth="1"/>
    <col min="53" max="53" width="22.85546875" bestFit="1" customWidth="1"/>
    <col min="54" max="54" width="15.42578125" bestFit="1" customWidth="1"/>
    <col min="55" max="55" width="15.85546875" bestFit="1" customWidth="1"/>
    <col min="56" max="56" width="24.7109375" bestFit="1" customWidth="1"/>
    <col min="57" max="57" width="15.42578125" bestFit="1" customWidth="1"/>
    <col min="58" max="58" width="15.85546875" bestFit="1" customWidth="1"/>
    <col min="59" max="59" width="16.85546875" bestFit="1" customWidth="1"/>
    <col min="60" max="60" width="15.42578125" bestFit="1" customWidth="1"/>
    <col min="61" max="61" width="15.85546875" bestFit="1" customWidth="1"/>
    <col min="62" max="62" width="16.85546875" bestFit="1" customWidth="1"/>
    <col min="63" max="63" width="15.42578125" bestFit="1" customWidth="1"/>
    <col min="64" max="64" width="15.85546875" bestFit="1" customWidth="1"/>
    <col min="65" max="65" width="16.85546875" bestFit="1" customWidth="1"/>
    <col min="66" max="66" width="15.42578125" bestFit="1" customWidth="1"/>
    <col min="67" max="67" width="15.85546875" bestFit="1" customWidth="1"/>
    <col min="68" max="68" width="16.85546875" bestFit="1" customWidth="1"/>
    <col min="69" max="69" width="15.42578125" bestFit="1" customWidth="1"/>
    <col min="70" max="70" width="15.85546875" bestFit="1" customWidth="1"/>
    <col min="71" max="71" width="16.85546875" bestFit="1" customWidth="1"/>
    <col min="72" max="72" width="15.42578125" bestFit="1" customWidth="1"/>
    <col min="73" max="73" width="15.85546875" bestFit="1" customWidth="1"/>
    <col min="74" max="74" width="16.85546875" bestFit="1" customWidth="1"/>
    <col min="75" max="75" width="15.42578125" bestFit="1" customWidth="1"/>
    <col min="76" max="76" width="15.85546875" bestFit="1" customWidth="1"/>
    <col min="77" max="77" width="20.140625" bestFit="1" customWidth="1"/>
    <col min="78" max="78" width="15.42578125" bestFit="1" customWidth="1"/>
    <col min="79" max="79" width="15.85546875" bestFit="1" customWidth="1"/>
    <col min="80" max="80" width="18.7109375" bestFit="1" customWidth="1"/>
    <col min="81" max="81" width="15.42578125" bestFit="1" customWidth="1"/>
    <col min="82" max="82" width="15.85546875" bestFit="1" customWidth="1"/>
    <col min="83" max="83" width="22" bestFit="1" customWidth="1"/>
    <col min="84" max="84" width="20.42578125" bestFit="1" customWidth="1"/>
    <col min="85" max="85" width="20.85546875" bestFit="1" customWidth="1"/>
  </cols>
  <sheetData>
    <row r="3" spans="1:5" x14ac:dyDescent="0.25">
      <c r="A3" s="4" t="s">
        <v>1025</v>
      </c>
      <c r="B3" t="s">
        <v>1036</v>
      </c>
      <c r="C3" t="s">
        <v>1041</v>
      </c>
      <c r="D3" t="s">
        <v>1027</v>
      </c>
    </row>
    <row r="4" spans="1:5" x14ac:dyDescent="0.25">
      <c r="A4" s="5" t="s">
        <v>1</v>
      </c>
      <c r="B4" s="3">
        <v>36680.388200000001</v>
      </c>
      <c r="C4">
        <v>40</v>
      </c>
      <c r="D4" s="2">
        <v>36900000</v>
      </c>
    </row>
    <row r="5" spans="1:5" x14ac:dyDescent="0.25">
      <c r="A5" s="6" t="s">
        <v>3</v>
      </c>
      <c r="B5" s="3">
        <v>36680.388200000001</v>
      </c>
      <c r="C5">
        <v>40</v>
      </c>
      <c r="D5" s="2">
        <v>36900000</v>
      </c>
      <c r="E5" t="s">
        <v>1042</v>
      </c>
    </row>
    <row r="6" spans="1:5" x14ac:dyDescent="0.25">
      <c r="A6" s="5" t="s">
        <v>5</v>
      </c>
      <c r="B6" s="3">
        <v>30547.931700000001</v>
      </c>
      <c r="C6">
        <v>39</v>
      </c>
      <c r="D6" s="2">
        <v>33600000</v>
      </c>
    </row>
    <row r="7" spans="1:5" x14ac:dyDescent="0.25">
      <c r="A7" s="6" t="s">
        <v>7</v>
      </c>
      <c r="B7" s="3">
        <v>30547.931700000001</v>
      </c>
      <c r="C7">
        <v>39</v>
      </c>
      <c r="D7" s="2">
        <v>33600000</v>
      </c>
    </row>
    <row r="8" spans="1:5" x14ac:dyDescent="0.25">
      <c r="A8" s="5" t="s">
        <v>10</v>
      </c>
      <c r="B8" s="3">
        <v>23880.485199999999</v>
      </c>
      <c r="C8">
        <v>190</v>
      </c>
      <c r="D8" s="2">
        <v>24900000</v>
      </c>
    </row>
    <row r="9" spans="1:5" x14ac:dyDescent="0.25">
      <c r="A9" s="6" t="s">
        <v>12</v>
      </c>
      <c r="B9" s="3">
        <v>23880.485199999999</v>
      </c>
      <c r="C9">
        <v>190</v>
      </c>
      <c r="D9" s="2">
        <v>24900000</v>
      </c>
    </row>
    <row r="10" spans="1:5" x14ac:dyDescent="0.25">
      <c r="A10" s="5" t="s">
        <v>14</v>
      </c>
      <c r="B10" s="3">
        <v>21849.892500000002</v>
      </c>
      <c r="C10">
        <v>57</v>
      </c>
      <c r="D10" s="2">
        <v>32400000</v>
      </c>
    </row>
    <row r="11" spans="1:5" x14ac:dyDescent="0.25">
      <c r="A11" s="6" t="s">
        <v>16</v>
      </c>
      <c r="B11" s="3">
        <v>21849.892500000002</v>
      </c>
      <c r="C11">
        <v>57</v>
      </c>
      <c r="D11" s="2">
        <v>32400000</v>
      </c>
    </row>
    <row r="12" spans="1:5" x14ac:dyDescent="0.25">
      <c r="A12" s="5" t="s">
        <v>18</v>
      </c>
      <c r="B12" s="3">
        <v>18166.406999999999</v>
      </c>
      <c r="C12">
        <v>25</v>
      </c>
      <c r="D12" s="2">
        <v>22500000</v>
      </c>
    </row>
    <row r="13" spans="1:5" x14ac:dyDescent="0.25">
      <c r="A13" s="6" t="s">
        <v>20</v>
      </c>
      <c r="B13" s="3">
        <v>18166.406999999999</v>
      </c>
      <c r="C13">
        <v>25</v>
      </c>
      <c r="D13" s="2">
        <v>22500000</v>
      </c>
    </row>
    <row r="14" spans="1:5" x14ac:dyDescent="0.25">
      <c r="A14" s="5" t="s">
        <v>22</v>
      </c>
      <c r="B14" s="3">
        <v>14183.4118</v>
      </c>
      <c r="C14">
        <v>742</v>
      </c>
      <c r="D14" s="2">
        <v>271800000</v>
      </c>
    </row>
    <row r="15" spans="1:5" x14ac:dyDescent="0.25">
      <c r="A15" s="6" t="s">
        <v>24</v>
      </c>
      <c r="B15" s="3">
        <v>14183.4118</v>
      </c>
      <c r="C15">
        <v>742</v>
      </c>
      <c r="D15" s="2">
        <v>271800000</v>
      </c>
    </row>
    <row r="16" spans="1:5" x14ac:dyDescent="0.25">
      <c r="A16" s="5" t="s">
        <v>26</v>
      </c>
      <c r="B16" s="3">
        <v>13480.731</v>
      </c>
      <c r="C16">
        <v>12</v>
      </c>
      <c r="D16" s="2">
        <v>20500000</v>
      </c>
    </row>
    <row r="17" spans="1:4" x14ac:dyDescent="0.25">
      <c r="A17" s="6" t="s">
        <v>16</v>
      </c>
      <c r="B17" s="3">
        <v>13480.731</v>
      </c>
      <c r="C17">
        <v>12</v>
      </c>
      <c r="D17" s="2">
        <v>20500000</v>
      </c>
    </row>
    <row r="18" spans="1:4" x14ac:dyDescent="0.25">
      <c r="A18" s="5" t="s">
        <v>30</v>
      </c>
      <c r="B18" s="3">
        <v>12700.658799999999</v>
      </c>
      <c r="C18">
        <v>72</v>
      </c>
      <c r="D18" s="2">
        <v>23300000</v>
      </c>
    </row>
    <row r="19" spans="1:4" x14ac:dyDescent="0.25">
      <c r="A19" s="6" t="s">
        <v>32</v>
      </c>
      <c r="B19" s="3">
        <v>12700.658799999999</v>
      </c>
      <c r="C19">
        <v>72</v>
      </c>
      <c r="D19" s="2">
        <v>23300000</v>
      </c>
    </row>
    <row r="20" spans="1:4" x14ac:dyDescent="0.25">
      <c r="A20" s="5" t="s">
        <v>34</v>
      </c>
      <c r="B20" s="3">
        <v>12564.536400000001</v>
      </c>
      <c r="C20">
        <v>60</v>
      </c>
      <c r="D20" s="2">
        <v>225900000</v>
      </c>
    </row>
    <row r="21" spans="1:4" x14ac:dyDescent="0.25">
      <c r="A21" s="6" t="s">
        <v>24</v>
      </c>
      <c r="B21" s="3">
        <v>12564.536400000001</v>
      </c>
      <c r="C21">
        <v>60</v>
      </c>
      <c r="D21" s="2">
        <v>225900000</v>
      </c>
    </row>
    <row r="22" spans="1:4" x14ac:dyDescent="0.25">
      <c r="A22" s="5" t="s">
        <v>37</v>
      </c>
      <c r="B22" s="3">
        <v>11996.296399999999</v>
      </c>
      <c r="C22">
        <v>37</v>
      </c>
      <c r="D22" s="2">
        <v>21400000</v>
      </c>
    </row>
    <row r="23" spans="1:4" x14ac:dyDescent="0.25">
      <c r="A23" s="6" t="s">
        <v>3</v>
      </c>
      <c r="B23" s="3">
        <v>11996.296399999999</v>
      </c>
      <c r="C23">
        <v>37</v>
      </c>
      <c r="D23" s="2">
        <v>21400000</v>
      </c>
    </row>
    <row r="24" spans="1:4" x14ac:dyDescent="0.25">
      <c r="A24" s="5" t="s">
        <v>40</v>
      </c>
      <c r="B24" s="3">
        <v>11949.179</v>
      </c>
      <c r="C24">
        <v>40</v>
      </c>
      <c r="D24" s="2">
        <v>13900000</v>
      </c>
    </row>
    <row r="25" spans="1:4" x14ac:dyDescent="0.25">
      <c r="A25" s="6" t="s">
        <v>16</v>
      </c>
      <c r="B25" s="3">
        <v>11949.179</v>
      </c>
      <c r="C25">
        <v>40</v>
      </c>
      <c r="D25" s="2">
        <v>13900000</v>
      </c>
    </row>
    <row r="26" spans="1:4" x14ac:dyDescent="0.25">
      <c r="A26" s="5" t="s">
        <v>43</v>
      </c>
      <c r="B26" s="3">
        <v>11632.8771</v>
      </c>
      <c r="C26">
        <v>226</v>
      </c>
      <c r="D26" s="2">
        <v>30300000</v>
      </c>
    </row>
    <row r="27" spans="1:4" x14ac:dyDescent="0.25">
      <c r="A27" s="6" t="s">
        <v>7</v>
      </c>
      <c r="B27" s="3">
        <v>11632.8771</v>
      </c>
      <c r="C27">
        <v>226</v>
      </c>
      <c r="D27" s="2">
        <v>30300000</v>
      </c>
    </row>
    <row r="28" spans="1:4" x14ac:dyDescent="0.25">
      <c r="A28" s="5" t="s">
        <v>45</v>
      </c>
      <c r="B28" s="3">
        <v>11622.5291</v>
      </c>
      <c r="C28">
        <v>23</v>
      </c>
      <c r="D28" s="2">
        <v>19100000</v>
      </c>
    </row>
    <row r="29" spans="1:4" x14ac:dyDescent="0.25">
      <c r="A29" s="6" t="s">
        <v>12</v>
      </c>
      <c r="B29" s="3">
        <v>11622.5291</v>
      </c>
      <c r="C29">
        <v>23</v>
      </c>
      <c r="D29" s="2">
        <v>19100000</v>
      </c>
    </row>
    <row r="30" spans="1:4" x14ac:dyDescent="0.25">
      <c r="A30" s="5" t="s">
        <v>49</v>
      </c>
      <c r="B30" s="3">
        <v>10561.7147</v>
      </c>
      <c r="C30">
        <v>66</v>
      </c>
      <c r="D30" s="2">
        <v>19100000</v>
      </c>
    </row>
    <row r="31" spans="1:4" x14ac:dyDescent="0.25">
      <c r="A31" s="6" t="s">
        <v>51</v>
      </c>
      <c r="B31" s="3">
        <v>10561.7147</v>
      </c>
      <c r="C31">
        <v>66</v>
      </c>
      <c r="D31" s="2">
        <v>19100000</v>
      </c>
    </row>
    <row r="32" spans="1:4" x14ac:dyDescent="0.25">
      <c r="A32" s="5" t="s">
        <v>53</v>
      </c>
      <c r="B32" s="3">
        <v>10175.755300000001</v>
      </c>
      <c r="C32">
        <v>109</v>
      </c>
      <c r="D32" s="2">
        <v>17300000</v>
      </c>
    </row>
    <row r="33" spans="1:4" x14ac:dyDescent="0.25">
      <c r="A33" s="6" t="s">
        <v>3</v>
      </c>
      <c r="B33" s="3">
        <v>10175.755300000001</v>
      </c>
      <c r="C33">
        <v>109</v>
      </c>
      <c r="D33" s="2">
        <v>17300000</v>
      </c>
    </row>
    <row r="34" spans="1:4" x14ac:dyDescent="0.25">
      <c r="A34" s="5" t="s">
        <v>1026</v>
      </c>
      <c r="B34" s="3">
        <v>251992.79420000006</v>
      </c>
      <c r="C34">
        <v>1738</v>
      </c>
      <c r="D34" s="2">
        <v>812900000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3DDD3-9F29-4297-8887-4E67015E2C92}">
  <dimension ref="A1:H46"/>
  <sheetViews>
    <sheetView workbookViewId="0">
      <selection activeCell="H3" sqref="H3"/>
    </sheetView>
  </sheetViews>
  <sheetFormatPr defaultRowHeight="15" x14ac:dyDescent="0.25"/>
  <cols>
    <col min="1" max="1" width="41.42578125" bestFit="1" customWidth="1"/>
    <col min="2" max="2" width="15.42578125" bestFit="1" customWidth="1"/>
    <col min="3" max="3" width="24" bestFit="1" customWidth="1"/>
    <col min="4" max="4" width="16.85546875" bestFit="1" customWidth="1"/>
    <col min="5" max="5" width="15.85546875" bestFit="1" customWidth="1"/>
    <col min="6" max="6" width="20.140625" bestFit="1" customWidth="1"/>
  </cols>
  <sheetData>
    <row r="1" spans="1:8" x14ac:dyDescent="0.25">
      <c r="A1" s="4" t="s">
        <v>1025</v>
      </c>
      <c r="B1" t="s">
        <v>1041</v>
      </c>
      <c r="C1" t="s">
        <v>1043</v>
      </c>
      <c r="D1" t="s">
        <v>1036</v>
      </c>
      <c r="E1" t="s">
        <v>1027</v>
      </c>
      <c r="F1" t="s">
        <v>1044</v>
      </c>
    </row>
    <row r="2" spans="1:8" x14ac:dyDescent="0.25">
      <c r="A2" s="5" t="s">
        <v>746</v>
      </c>
      <c r="B2">
        <v>4572</v>
      </c>
      <c r="C2">
        <v>398</v>
      </c>
      <c r="D2" s="3">
        <v>1064.5360000000001</v>
      </c>
      <c r="E2" s="2">
        <v>374200000</v>
      </c>
      <c r="F2">
        <v>4174</v>
      </c>
      <c r="H2" t="s">
        <v>1046</v>
      </c>
    </row>
    <row r="3" spans="1:8" x14ac:dyDescent="0.25">
      <c r="A3" s="6" t="s">
        <v>24</v>
      </c>
      <c r="B3">
        <v>4572</v>
      </c>
      <c r="C3">
        <v>398</v>
      </c>
      <c r="D3" s="3">
        <v>1064.5360000000001</v>
      </c>
      <c r="E3" s="2">
        <v>374200000</v>
      </c>
      <c r="F3">
        <v>4174</v>
      </c>
    </row>
    <row r="4" spans="1:8" x14ac:dyDescent="0.25">
      <c r="A4" s="5" t="s">
        <v>402</v>
      </c>
      <c r="B4">
        <v>2330</v>
      </c>
      <c r="C4">
        <v>220</v>
      </c>
      <c r="D4" s="3">
        <v>2007.0455999999999</v>
      </c>
      <c r="E4" s="2">
        <v>40500000</v>
      </c>
      <c r="F4">
        <v>2110</v>
      </c>
    </row>
    <row r="5" spans="1:8" x14ac:dyDescent="0.25">
      <c r="A5" s="6" t="s">
        <v>152</v>
      </c>
      <c r="B5">
        <v>2330</v>
      </c>
      <c r="C5">
        <v>220</v>
      </c>
      <c r="D5" s="3">
        <v>2007.0455999999999</v>
      </c>
      <c r="E5" s="2">
        <v>40500000</v>
      </c>
      <c r="F5">
        <v>2110</v>
      </c>
    </row>
    <row r="6" spans="1:8" x14ac:dyDescent="0.25">
      <c r="A6" s="5" t="s">
        <v>785</v>
      </c>
      <c r="B6">
        <v>2000</v>
      </c>
      <c r="C6">
        <v>400</v>
      </c>
      <c r="D6" s="3">
        <v>1002.0531999999999</v>
      </c>
      <c r="E6" s="2">
        <v>45100000</v>
      </c>
      <c r="F6">
        <v>1600</v>
      </c>
    </row>
    <row r="7" spans="1:8" x14ac:dyDescent="0.25">
      <c r="A7" s="6" t="s">
        <v>152</v>
      </c>
      <c r="B7">
        <v>2000</v>
      </c>
      <c r="C7">
        <v>400</v>
      </c>
      <c r="D7" s="3">
        <v>1002.0531999999999</v>
      </c>
      <c r="E7" s="2">
        <v>45100000</v>
      </c>
      <c r="F7">
        <v>1600</v>
      </c>
    </row>
    <row r="8" spans="1:8" x14ac:dyDescent="0.25">
      <c r="A8" s="5" t="s">
        <v>540</v>
      </c>
      <c r="B8">
        <v>1500</v>
      </c>
      <c r="C8">
        <v>500</v>
      </c>
      <c r="D8" s="3">
        <v>1545.2612999999999</v>
      </c>
      <c r="E8" s="2">
        <v>113500000</v>
      </c>
      <c r="F8">
        <v>1000</v>
      </c>
    </row>
    <row r="9" spans="1:8" x14ac:dyDescent="0.25">
      <c r="A9" s="6" t="s">
        <v>24</v>
      </c>
      <c r="B9">
        <v>1500</v>
      </c>
      <c r="C9">
        <v>500</v>
      </c>
      <c r="D9" s="3">
        <v>1545.2612999999999</v>
      </c>
      <c r="E9" s="2">
        <v>113500000</v>
      </c>
      <c r="F9">
        <v>1000</v>
      </c>
    </row>
    <row r="10" spans="1:8" x14ac:dyDescent="0.25">
      <c r="A10" s="5" t="s">
        <v>424</v>
      </c>
      <c r="B10">
        <v>1246</v>
      </c>
      <c r="C10">
        <v>105</v>
      </c>
      <c r="D10" s="3">
        <v>1938.0352</v>
      </c>
      <c r="E10" s="2">
        <v>61100000</v>
      </c>
      <c r="F10">
        <v>1141</v>
      </c>
    </row>
    <row r="11" spans="1:8" x14ac:dyDescent="0.25">
      <c r="A11" s="6" t="s">
        <v>24</v>
      </c>
      <c r="B11">
        <v>1246</v>
      </c>
      <c r="C11">
        <v>105</v>
      </c>
      <c r="D11" s="3">
        <v>1938.0352</v>
      </c>
      <c r="E11" s="2">
        <v>61100000</v>
      </c>
      <c r="F11">
        <v>1141</v>
      </c>
    </row>
    <row r="12" spans="1:8" x14ac:dyDescent="0.25">
      <c r="A12" s="5" t="s">
        <v>213</v>
      </c>
      <c r="B12">
        <v>1200</v>
      </c>
      <c r="C12">
        <v>30</v>
      </c>
      <c r="D12" s="3">
        <v>3665.0612000000001</v>
      </c>
      <c r="E12" s="2">
        <v>104100000</v>
      </c>
      <c r="F12">
        <v>1170</v>
      </c>
    </row>
    <row r="13" spans="1:8" x14ac:dyDescent="0.25">
      <c r="A13" s="6" t="s">
        <v>16</v>
      </c>
      <c r="B13">
        <v>1200</v>
      </c>
      <c r="C13">
        <v>30</v>
      </c>
      <c r="D13" s="3">
        <v>3665.0612000000001</v>
      </c>
      <c r="E13" s="2">
        <v>104100000</v>
      </c>
      <c r="F13">
        <v>1170</v>
      </c>
    </row>
    <row r="14" spans="1:8" x14ac:dyDescent="0.25">
      <c r="A14" s="5" t="s">
        <v>428</v>
      </c>
      <c r="B14">
        <v>1160</v>
      </c>
      <c r="C14">
        <v>40</v>
      </c>
      <c r="D14" s="3">
        <v>1917.0019</v>
      </c>
      <c r="E14" s="2">
        <v>161800000</v>
      </c>
      <c r="F14">
        <v>1120</v>
      </c>
    </row>
    <row r="15" spans="1:8" x14ac:dyDescent="0.25">
      <c r="A15" s="6" t="s">
        <v>81</v>
      </c>
      <c r="B15">
        <v>1160</v>
      </c>
      <c r="C15">
        <v>40</v>
      </c>
      <c r="D15" s="3">
        <v>1917.0019</v>
      </c>
      <c r="E15" s="2">
        <v>161800000</v>
      </c>
      <c r="F15">
        <v>1120</v>
      </c>
    </row>
    <row r="16" spans="1:8" x14ac:dyDescent="0.25">
      <c r="A16" s="5" t="s">
        <v>285</v>
      </c>
      <c r="B16">
        <v>941</v>
      </c>
      <c r="C16">
        <v>51</v>
      </c>
      <c r="D16" s="3">
        <v>2694.3301999999999</v>
      </c>
      <c r="E16" s="2">
        <v>84800000</v>
      </c>
      <c r="F16">
        <v>890</v>
      </c>
    </row>
    <row r="17" spans="1:6" x14ac:dyDescent="0.25">
      <c r="A17" s="6" t="s">
        <v>24</v>
      </c>
      <c r="B17">
        <v>941</v>
      </c>
      <c r="C17">
        <v>51</v>
      </c>
      <c r="D17" s="3">
        <v>2694.3301999999999</v>
      </c>
      <c r="E17" s="2">
        <v>84800000</v>
      </c>
      <c r="F17">
        <v>890</v>
      </c>
    </row>
    <row r="18" spans="1:6" x14ac:dyDescent="0.25">
      <c r="A18" s="5" t="s">
        <v>477</v>
      </c>
      <c r="B18">
        <v>900</v>
      </c>
      <c r="C18">
        <v>75</v>
      </c>
      <c r="D18" s="3">
        <v>1723.8604</v>
      </c>
      <c r="E18" s="2">
        <v>467400000</v>
      </c>
      <c r="F18">
        <v>825</v>
      </c>
    </row>
    <row r="19" spans="1:6" x14ac:dyDescent="0.25">
      <c r="A19" s="6" t="s">
        <v>87</v>
      </c>
      <c r="B19">
        <v>900</v>
      </c>
      <c r="C19">
        <v>75</v>
      </c>
      <c r="D19" s="3">
        <v>1723.8604</v>
      </c>
      <c r="E19" s="2">
        <v>467400000</v>
      </c>
      <c r="F19">
        <v>825</v>
      </c>
    </row>
    <row r="20" spans="1:6" x14ac:dyDescent="0.25">
      <c r="A20" s="5" t="s">
        <v>22</v>
      </c>
      <c r="B20">
        <v>742</v>
      </c>
      <c r="C20">
        <v>18</v>
      </c>
      <c r="D20" s="3">
        <v>14183.4118</v>
      </c>
      <c r="E20" s="2">
        <v>271800000</v>
      </c>
      <c r="F20">
        <v>724</v>
      </c>
    </row>
    <row r="21" spans="1:6" x14ac:dyDescent="0.25">
      <c r="A21" s="6" t="s">
        <v>24</v>
      </c>
      <c r="B21">
        <v>742</v>
      </c>
      <c r="C21">
        <v>18</v>
      </c>
      <c r="D21" s="3">
        <v>14183.4118</v>
      </c>
      <c r="E21" s="2">
        <v>271800000</v>
      </c>
      <c r="F21">
        <v>724</v>
      </c>
    </row>
    <row r="22" spans="1:6" x14ac:dyDescent="0.25">
      <c r="A22" s="5" t="s">
        <v>263</v>
      </c>
      <c r="B22">
        <v>740</v>
      </c>
      <c r="C22">
        <v>5</v>
      </c>
      <c r="D22" s="3">
        <v>2911.1745999999998</v>
      </c>
      <c r="E22" s="2">
        <v>23600000</v>
      </c>
      <c r="F22">
        <v>735</v>
      </c>
    </row>
    <row r="23" spans="1:6" x14ac:dyDescent="0.25">
      <c r="A23" s="6" t="s">
        <v>139</v>
      </c>
      <c r="B23">
        <v>740</v>
      </c>
      <c r="C23">
        <v>5</v>
      </c>
      <c r="D23" s="3">
        <v>2911.1745999999998</v>
      </c>
      <c r="E23" s="2">
        <v>23600000</v>
      </c>
      <c r="F23">
        <v>735</v>
      </c>
    </row>
    <row r="24" spans="1:6" x14ac:dyDescent="0.25">
      <c r="A24" s="5" t="s">
        <v>880</v>
      </c>
      <c r="B24">
        <v>738</v>
      </c>
      <c r="C24">
        <v>125</v>
      </c>
      <c r="D24" s="3">
        <v>854.08439999999996</v>
      </c>
      <c r="E24" s="2">
        <v>27200000</v>
      </c>
      <c r="F24">
        <v>613</v>
      </c>
    </row>
    <row r="25" spans="1:6" x14ac:dyDescent="0.25">
      <c r="A25" s="6" t="s">
        <v>87</v>
      </c>
      <c r="B25">
        <v>738</v>
      </c>
      <c r="C25">
        <v>125</v>
      </c>
      <c r="D25" s="3">
        <v>854.08439999999996</v>
      </c>
      <c r="E25" s="2">
        <v>27200000</v>
      </c>
      <c r="F25">
        <v>613</v>
      </c>
    </row>
    <row r="26" spans="1:6" x14ac:dyDescent="0.25">
      <c r="A26" s="5" t="s">
        <v>951</v>
      </c>
      <c r="B26">
        <v>700</v>
      </c>
      <c r="C26">
        <v>250</v>
      </c>
      <c r="D26" s="3">
        <v>791.56119999999999</v>
      </c>
      <c r="E26" s="2">
        <v>17200000</v>
      </c>
      <c r="F26">
        <v>450</v>
      </c>
    </row>
    <row r="27" spans="1:6" x14ac:dyDescent="0.25">
      <c r="A27" s="6" t="s">
        <v>119</v>
      </c>
      <c r="B27">
        <v>700</v>
      </c>
      <c r="C27">
        <v>250</v>
      </c>
      <c r="D27" s="3">
        <v>791.56119999999999</v>
      </c>
      <c r="E27" s="2">
        <v>17200000</v>
      </c>
      <c r="F27">
        <v>450</v>
      </c>
    </row>
    <row r="28" spans="1:6" x14ac:dyDescent="0.25">
      <c r="A28" s="5" t="s">
        <v>338</v>
      </c>
      <c r="B28">
        <v>650</v>
      </c>
      <c r="C28">
        <v>200</v>
      </c>
      <c r="D28" s="3">
        <v>2370.3591000000001</v>
      </c>
      <c r="E28" s="2">
        <v>72300000</v>
      </c>
      <c r="F28">
        <v>450</v>
      </c>
    </row>
    <row r="29" spans="1:6" x14ac:dyDescent="0.25">
      <c r="A29" s="6" t="s">
        <v>130</v>
      </c>
      <c r="B29">
        <v>650</v>
      </c>
      <c r="C29">
        <v>200</v>
      </c>
      <c r="D29" s="3">
        <v>2370.3591000000001</v>
      </c>
      <c r="E29" s="2">
        <v>72300000</v>
      </c>
      <c r="F29">
        <v>450</v>
      </c>
    </row>
    <row r="30" spans="1:6" x14ac:dyDescent="0.25">
      <c r="A30" s="5" t="s">
        <v>727</v>
      </c>
      <c r="B30">
        <v>614</v>
      </c>
      <c r="C30">
        <v>51</v>
      </c>
      <c r="D30" s="3">
        <v>1107.0863999999999</v>
      </c>
      <c r="E30" s="2">
        <v>368600000</v>
      </c>
      <c r="F30">
        <v>563</v>
      </c>
    </row>
    <row r="31" spans="1:6" x14ac:dyDescent="0.25">
      <c r="A31" s="6" t="s">
        <v>7</v>
      </c>
      <c r="B31">
        <v>614</v>
      </c>
      <c r="C31">
        <v>51</v>
      </c>
      <c r="D31" s="3">
        <v>1107.0863999999999</v>
      </c>
      <c r="E31" s="2">
        <v>368600000</v>
      </c>
      <c r="F31">
        <v>563</v>
      </c>
    </row>
    <row r="32" spans="1:6" x14ac:dyDescent="0.25">
      <c r="A32" s="5" t="s">
        <v>235</v>
      </c>
      <c r="B32">
        <v>585</v>
      </c>
      <c r="C32">
        <v>15</v>
      </c>
      <c r="D32" s="3">
        <v>3307.1657</v>
      </c>
      <c r="E32" s="2">
        <v>102900000</v>
      </c>
      <c r="F32">
        <v>570</v>
      </c>
    </row>
    <row r="33" spans="1:6" x14ac:dyDescent="0.25">
      <c r="A33" s="6" t="s">
        <v>108</v>
      </c>
      <c r="B33">
        <v>585</v>
      </c>
      <c r="C33">
        <v>15</v>
      </c>
      <c r="D33" s="3">
        <v>3307.1657</v>
      </c>
      <c r="E33" s="2">
        <v>102900000</v>
      </c>
      <c r="F33">
        <v>570</v>
      </c>
    </row>
    <row r="34" spans="1:6" x14ac:dyDescent="0.25">
      <c r="A34" s="5" t="s">
        <v>840</v>
      </c>
      <c r="B34">
        <v>574</v>
      </c>
      <c r="C34">
        <v>85</v>
      </c>
      <c r="D34" s="3">
        <v>903.18910000000005</v>
      </c>
      <c r="E34" s="2">
        <v>59400000</v>
      </c>
      <c r="F34">
        <v>489</v>
      </c>
    </row>
    <row r="35" spans="1:6" x14ac:dyDescent="0.25">
      <c r="A35" s="6" t="s">
        <v>73</v>
      </c>
      <c r="B35">
        <v>574</v>
      </c>
      <c r="C35">
        <v>85</v>
      </c>
      <c r="D35" s="3">
        <v>903.18910000000005</v>
      </c>
      <c r="E35" s="2">
        <v>59400000</v>
      </c>
      <c r="F35">
        <v>489</v>
      </c>
    </row>
    <row r="36" spans="1:6" x14ac:dyDescent="0.25">
      <c r="A36" s="5" t="s">
        <v>332</v>
      </c>
      <c r="B36">
        <v>545</v>
      </c>
      <c r="C36">
        <v>166</v>
      </c>
      <c r="D36" s="3">
        <v>2412.1028999999999</v>
      </c>
      <c r="E36" s="2">
        <v>20600000</v>
      </c>
      <c r="F36">
        <v>379</v>
      </c>
    </row>
    <row r="37" spans="1:6" x14ac:dyDescent="0.25">
      <c r="A37" s="6" t="s">
        <v>139</v>
      </c>
      <c r="B37">
        <v>545</v>
      </c>
      <c r="C37">
        <v>166</v>
      </c>
      <c r="D37" s="3">
        <v>2412.1028999999999</v>
      </c>
      <c r="E37" s="2">
        <v>20600000</v>
      </c>
      <c r="F37">
        <v>379</v>
      </c>
    </row>
    <row r="38" spans="1:6" x14ac:dyDescent="0.25">
      <c r="A38" s="5" t="s">
        <v>538</v>
      </c>
      <c r="B38">
        <v>502</v>
      </c>
      <c r="C38">
        <v>65</v>
      </c>
      <c r="D38" s="3">
        <v>1549.3842999999999</v>
      </c>
      <c r="E38" s="2">
        <v>93900000</v>
      </c>
      <c r="F38">
        <v>437</v>
      </c>
    </row>
    <row r="39" spans="1:6" x14ac:dyDescent="0.25">
      <c r="A39" s="6" t="s">
        <v>24</v>
      </c>
      <c r="B39">
        <v>502</v>
      </c>
      <c r="C39">
        <v>65</v>
      </c>
      <c r="D39" s="3">
        <v>1549.3842999999999</v>
      </c>
      <c r="E39" s="2">
        <v>93900000</v>
      </c>
      <c r="F39">
        <v>437</v>
      </c>
    </row>
    <row r="40" spans="1:6" x14ac:dyDescent="0.25">
      <c r="A40" s="5" t="s">
        <v>927</v>
      </c>
      <c r="B40">
        <v>500</v>
      </c>
      <c r="C40">
        <v>35</v>
      </c>
      <c r="D40" s="3">
        <v>810.92930000000001</v>
      </c>
      <c r="E40" s="2">
        <v>171800000</v>
      </c>
      <c r="F40">
        <v>465</v>
      </c>
    </row>
    <row r="41" spans="1:6" x14ac:dyDescent="0.25">
      <c r="A41" s="6" t="s">
        <v>87</v>
      </c>
      <c r="B41">
        <v>500</v>
      </c>
      <c r="C41">
        <v>35</v>
      </c>
      <c r="D41" s="3">
        <v>810.92930000000001</v>
      </c>
      <c r="E41" s="2">
        <v>171800000</v>
      </c>
      <c r="F41">
        <v>465</v>
      </c>
    </row>
    <row r="42" spans="1:6" x14ac:dyDescent="0.25">
      <c r="A42" s="5" t="s">
        <v>138</v>
      </c>
      <c r="B42">
        <v>500</v>
      </c>
      <c r="C42">
        <v>70</v>
      </c>
      <c r="D42" s="3">
        <v>5484.3681999999999</v>
      </c>
      <c r="E42" s="2">
        <v>48500000</v>
      </c>
      <c r="F42">
        <v>430</v>
      </c>
    </row>
    <row r="43" spans="1:6" x14ac:dyDescent="0.25">
      <c r="A43" s="6" t="s">
        <v>139</v>
      </c>
      <c r="B43">
        <v>500</v>
      </c>
      <c r="C43">
        <v>70</v>
      </c>
      <c r="D43" s="3">
        <v>5484.3681999999999</v>
      </c>
      <c r="E43" s="2">
        <v>48500000</v>
      </c>
      <c r="F43">
        <v>430</v>
      </c>
    </row>
    <row r="44" spans="1:6" x14ac:dyDescent="0.25">
      <c r="A44" s="5" t="s">
        <v>956</v>
      </c>
      <c r="B44">
        <v>500</v>
      </c>
      <c r="C44">
        <v>56</v>
      </c>
      <c r="D44" s="3">
        <v>785.5059</v>
      </c>
      <c r="E44" s="2">
        <v>77400000</v>
      </c>
      <c r="F44">
        <v>444</v>
      </c>
    </row>
    <row r="45" spans="1:6" x14ac:dyDescent="0.25">
      <c r="A45" s="6" t="s">
        <v>16</v>
      </c>
      <c r="B45">
        <v>500</v>
      </c>
      <c r="C45">
        <v>56</v>
      </c>
      <c r="D45" s="3">
        <v>785.5059</v>
      </c>
      <c r="E45" s="2">
        <v>77400000</v>
      </c>
      <c r="F45">
        <v>444</v>
      </c>
    </row>
    <row r="46" spans="1:6" x14ac:dyDescent="0.25">
      <c r="A46" s="5" t="s">
        <v>1026</v>
      </c>
      <c r="B46">
        <v>23739</v>
      </c>
      <c r="C46">
        <v>2960</v>
      </c>
      <c r="D46" s="3">
        <v>55027.50789999999</v>
      </c>
      <c r="E46" s="2">
        <v>2807700000</v>
      </c>
      <c r="F46">
        <v>20779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6D3AE-2ED2-4612-B8DE-9C8F00367EFA}">
  <dimension ref="A1:E26"/>
  <sheetViews>
    <sheetView topLeftCell="A8" workbookViewId="0">
      <selection activeCell="B2" sqref="A1:E12"/>
    </sheetView>
  </sheetViews>
  <sheetFormatPr defaultRowHeight="15" x14ac:dyDescent="0.25"/>
  <cols>
    <col min="1" max="1" width="26.5703125" bestFit="1" customWidth="1"/>
    <col min="2" max="2" width="15.85546875" bestFit="1" customWidth="1"/>
    <col min="3" max="3" width="15.42578125" bestFit="1" customWidth="1"/>
    <col min="4" max="4" width="20.140625" bestFit="1" customWidth="1"/>
    <col min="5" max="5" width="28.140625" bestFit="1" customWidth="1"/>
    <col min="6" max="6" width="20.140625" bestFit="1" customWidth="1"/>
  </cols>
  <sheetData>
    <row r="1" spans="1:5" x14ac:dyDescent="0.25">
      <c r="A1" s="4" t="s">
        <v>1025</v>
      </c>
      <c r="B1" t="s">
        <v>1027</v>
      </c>
      <c r="C1" t="s">
        <v>1041</v>
      </c>
      <c r="D1" t="s">
        <v>1044</v>
      </c>
      <c r="E1" s="1" t="s">
        <v>1047</v>
      </c>
    </row>
    <row r="2" spans="1:5" x14ac:dyDescent="0.25">
      <c r="A2" s="5" t="s">
        <v>746</v>
      </c>
      <c r="B2" s="2">
        <v>374200000</v>
      </c>
      <c r="C2">
        <v>4572</v>
      </c>
      <c r="D2">
        <v>4174</v>
      </c>
      <c r="E2" s="1">
        <v>81846.019247594057</v>
      </c>
    </row>
    <row r="3" spans="1:5" x14ac:dyDescent="0.25">
      <c r="A3" s="5" t="s">
        <v>402</v>
      </c>
      <c r="B3" s="2">
        <v>40500000</v>
      </c>
      <c r="C3">
        <v>2330</v>
      </c>
      <c r="D3">
        <v>2110</v>
      </c>
      <c r="E3" s="1">
        <v>17381.974248927039</v>
      </c>
    </row>
    <row r="4" spans="1:5" x14ac:dyDescent="0.25">
      <c r="A4" s="5" t="s">
        <v>785</v>
      </c>
      <c r="B4" s="2">
        <v>45100000</v>
      </c>
      <c r="C4">
        <v>2000</v>
      </c>
      <c r="D4">
        <v>1600</v>
      </c>
      <c r="E4" s="1">
        <v>22550</v>
      </c>
    </row>
    <row r="5" spans="1:5" x14ac:dyDescent="0.25">
      <c r="A5" s="5" t="s">
        <v>213</v>
      </c>
      <c r="B5" s="2">
        <v>104100000</v>
      </c>
      <c r="C5">
        <v>1200</v>
      </c>
      <c r="D5">
        <v>1170</v>
      </c>
      <c r="E5" s="1">
        <v>86750</v>
      </c>
    </row>
    <row r="6" spans="1:5" x14ac:dyDescent="0.25">
      <c r="A6" s="5" t="s">
        <v>424</v>
      </c>
      <c r="B6" s="2">
        <v>61100000</v>
      </c>
      <c r="C6">
        <v>1246</v>
      </c>
      <c r="D6">
        <v>1141</v>
      </c>
      <c r="E6" s="1">
        <v>49036.918138041736</v>
      </c>
    </row>
    <row r="7" spans="1:5" x14ac:dyDescent="0.25">
      <c r="A7" s="5" t="s">
        <v>428</v>
      </c>
      <c r="B7" s="2">
        <v>161800000</v>
      </c>
      <c r="C7">
        <v>1160</v>
      </c>
      <c r="D7">
        <v>1120</v>
      </c>
      <c r="E7" s="1">
        <v>139482.75862068965</v>
      </c>
    </row>
    <row r="8" spans="1:5" x14ac:dyDescent="0.25">
      <c r="A8" s="5" t="s">
        <v>540</v>
      </c>
      <c r="B8" s="2">
        <v>113500000</v>
      </c>
      <c r="C8">
        <v>1500</v>
      </c>
      <c r="D8">
        <v>1000</v>
      </c>
      <c r="E8" s="1">
        <v>75666.666666666672</v>
      </c>
    </row>
    <row r="9" spans="1:5" x14ac:dyDescent="0.25">
      <c r="A9" s="5" t="s">
        <v>285</v>
      </c>
      <c r="B9" s="2">
        <v>84800000</v>
      </c>
      <c r="C9">
        <v>941</v>
      </c>
      <c r="D9">
        <v>890</v>
      </c>
      <c r="E9" s="1">
        <v>90116.896918172162</v>
      </c>
    </row>
    <row r="10" spans="1:5" x14ac:dyDescent="0.25">
      <c r="A10" s="5" t="s">
        <v>477</v>
      </c>
      <c r="B10" s="2">
        <v>467400000</v>
      </c>
      <c r="C10">
        <v>900</v>
      </c>
      <c r="D10">
        <v>825</v>
      </c>
      <c r="E10" s="1">
        <v>519333.33333333331</v>
      </c>
    </row>
    <row r="11" spans="1:5" x14ac:dyDescent="0.25">
      <c r="A11" s="5" t="s">
        <v>263</v>
      </c>
      <c r="B11" s="2">
        <v>23600000</v>
      </c>
      <c r="C11">
        <v>740</v>
      </c>
      <c r="D11">
        <v>735</v>
      </c>
      <c r="E11" s="1">
        <v>31891.891891891893</v>
      </c>
    </row>
    <row r="12" spans="1:5" x14ac:dyDescent="0.25">
      <c r="A12" s="5" t="s">
        <v>1026</v>
      </c>
      <c r="B12" s="2">
        <v>1476100000</v>
      </c>
      <c r="C12">
        <v>16589</v>
      </c>
      <c r="D12">
        <v>14765</v>
      </c>
      <c r="E12" s="1">
        <v>88980.649828199414</v>
      </c>
    </row>
    <row r="14" spans="1:5" x14ac:dyDescent="0.25">
      <c r="A14" s="4" t="s">
        <v>1025</v>
      </c>
      <c r="B14" t="s">
        <v>1027</v>
      </c>
      <c r="C14" t="s">
        <v>1041</v>
      </c>
      <c r="D14" t="s">
        <v>1044</v>
      </c>
      <c r="E14" s="1" t="s">
        <v>1047</v>
      </c>
    </row>
    <row r="15" spans="1:5" x14ac:dyDescent="0.25">
      <c r="A15" s="5" t="s">
        <v>1007</v>
      </c>
      <c r="B15" s="2">
        <v>2400000</v>
      </c>
      <c r="C15">
        <v>2</v>
      </c>
      <c r="D15">
        <v>1</v>
      </c>
      <c r="E15" s="1">
        <v>1200000</v>
      </c>
    </row>
    <row r="16" spans="1:5" x14ac:dyDescent="0.25">
      <c r="A16" s="5" t="s">
        <v>706</v>
      </c>
      <c r="B16" s="2">
        <v>6900000</v>
      </c>
      <c r="C16">
        <v>3</v>
      </c>
      <c r="D16">
        <v>1</v>
      </c>
      <c r="E16" s="1">
        <v>2300000</v>
      </c>
    </row>
    <row r="17" spans="1:5" x14ac:dyDescent="0.25">
      <c r="A17" s="5" t="s">
        <v>724</v>
      </c>
      <c r="B17" s="2">
        <v>8800000</v>
      </c>
      <c r="C17">
        <v>7</v>
      </c>
      <c r="D17">
        <v>1</v>
      </c>
      <c r="E17" s="1">
        <v>1257142.857142857</v>
      </c>
    </row>
    <row r="18" spans="1:5" x14ac:dyDescent="0.25">
      <c r="A18" s="5" t="s">
        <v>491</v>
      </c>
      <c r="B18" s="2">
        <v>10100000</v>
      </c>
      <c r="C18">
        <v>2</v>
      </c>
      <c r="D18">
        <v>1</v>
      </c>
      <c r="E18" s="1">
        <v>5050000</v>
      </c>
    </row>
    <row r="19" spans="1:5" x14ac:dyDescent="0.25">
      <c r="A19" s="5" t="s">
        <v>728</v>
      </c>
      <c r="B19" s="2">
        <v>5500000</v>
      </c>
      <c r="C19">
        <v>5</v>
      </c>
      <c r="D19">
        <v>1</v>
      </c>
      <c r="E19" s="1">
        <v>1100000</v>
      </c>
    </row>
    <row r="20" spans="1:5" x14ac:dyDescent="0.25">
      <c r="A20" s="5" t="s">
        <v>633</v>
      </c>
      <c r="B20" s="2">
        <v>2700000</v>
      </c>
      <c r="C20">
        <v>2</v>
      </c>
      <c r="D20">
        <v>0</v>
      </c>
      <c r="E20" s="1">
        <v>1350000</v>
      </c>
    </row>
    <row r="21" spans="1:5" x14ac:dyDescent="0.25">
      <c r="A21" s="5" t="s">
        <v>782</v>
      </c>
      <c r="B21" s="2">
        <v>3900000</v>
      </c>
      <c r="C21">
        <v>5</v>
      </c>
      <c r="D21">
        <v>0</v>
      </c>
      <c r="E21" s="1">
        <v>780000</v>
      </c>
    </row>
    <row r="22" spans="1:5" x14ac:dyDescent="0.25">
      <c r="A22" s="5" t="s">
        <v>653</v>
      </c>
      <c r="B22" s="2">
        <v>5900000</v>
      </c>
      <c r="C22">
        <v>3</v>
      </c>
      <c r="D22">
        <v>-1</v>
      </c>
      <c r="E22" s="1">
        <v>1966666.6666666667</v>
      </c>
    </row>
    <row r="23" spans="1:5" x14ac:dyDescent="0.25">
      <c r="A23" s="5" t="s">
        <v>822</v>
      </c>
      <c r="B23" s="2">
        <v>2000000</v>
      </c>
      <c r="C23">
        <v>5</v>
      </c>
      <c r="D23">
        <v>-8</v>
      </c>
      <c r="E23" s="1">
        <v>400000</v>
      </c>
    </row>
    <row r="24" spans="1:5" x14ac:dyDescent="0.25">
      <c r="A24" s="5" t="s">
        <v>914</v>
      </c>
      <c r="B24" s="2">
        <v>2900000</v>
      </c>
      <c r="C24">
        <v>20</v>
      </c>
      <c r="D24">
        <v>-26</v>
      </c>
      <c r="E24" s="1">
        <v>145000</v>
      </c>
    </row>
    <row r="25" spans="1:5" x14ac:dyDescent="0.25">
      <c r="A25" s="5" t="s">
        <v>901</v>
      </c>
      <c r="B25" s="2">
        <v>492500000</v>
      </c>
      <c r="C25">
        <v>37</v>
      </c>
      <c r="D25">
        <v>-43</v>
      </c>
      <c r="E25" s="1">
        <v>13310810.81081081</v>
      </c>
    </row>
    <row r="26" spans="1:5" x14ac:dyDescent="0.25">
      <c r="A26" s="5" t="s">
        <v>1026</v>
      </c>
      <c r="B26" s="2">
        <v>543600000</v>
      </c>
      <c r="C26">
        <v>91</v>
      </c>
      <c r="D26">
        <v>-73</v>
      </c>
      <c r="E26" s="1">
        <v>5973626.3736263737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271B-DA76-4D73-8AE9-7655BA0DC594}">
  <dimension ref="B3:E508"/>
  <sheetViews>
    <sheetView tabSelected="1" workbookViewId="0">
      <selection activeCell="B64" sqref="B3:E508"/>
    </sheetView>
  </sheetViews>
  <sheetFormatPr defaultRowHeight="15" x14ac:dyDescent="0.25"/>
  <cols>
    <col min="2" max="2" width="42" bestFit="1" customWidth="1"/>
    <col min="3" max="3" width="15.42578125" bestFit="1" customWidth="1"/>
    <col min="4" max="4" width="20.140625" bestFit="1" customWidth="1"/>
    <col min="5" max="5" width="16.85546875" bestFit="1" customWidth="1"/>
    <col min="6" max="6" width="28.140625" bestFit="1" customWidth="1"/>
  </cols>
  <sheetData>
    <row r="3" spans="2:5" x14ac:dyDescent="0.25">
      <c r="B3" s="4" t="s">
        <v>1025</v>
      </c>
      <c r="C3" t="s">
        <v>1041</v>
      </c>
      <c r="D3" t="s">
        <v>1044</v>
      </c>
      <c r="E3" t="s">
        <v>1036</v>
      </c>
    </row>
    <row r="4" spans="2:5" x14ac:dyDescent="0.25">
      <c r="B4" s="5" t="s">
        <v>3</v>
      </c>
      <c r="C4">
        <v>1593</v>
      </c>
      <c r="D4">
        <v>1331</v>
      </c>
      <c r="E4" s="3">
        <v>125452.3941</v>
      </c>
    </row>
    <row r="5" spans="2:5" x14ac:dyDescent="0.25">
      <c r="B5" s="6" t="s">
        <v>1</v>
      </c>
      <c r="C5">
        <v>40</v>
      </c>
      <c r="D5">
        <v>35</v>
      </c>
      <c r="E5" s="3">
        <v>36680.388200000001</v>
      </c>
    </row>
    <row r="6" spans="2:5" x14ac:dyDescent="0.25">
      <c r="B6" s="6" t="s">
        <v>37</v>
      </c>
      <c r="C6">
        <v>37</v>
      </c>
      <c r="D6">
        <v>32</v>
      </c>
      <c r="E6" s="3">
        <v>11996.296399999999</v>
      </c>
    </row>
    <row r="7" spans="2:5" x14ac:dyDescent="0.25">
      <c r="B7" s="6" t="s">
        <v>125</v>
      </c>
      <c r="C7">
        <v>40</v>
      </c>
      <c r="D7">
        <v>28</v>
      </c>
      <c r="E7" s="3">
        <v>5852.2148999999999</v>
      </c>
    </row>
    <row r="8" spans="2:5" x14ac:dyDescent="0.25">
      <c r="B8" s="6" t="s">
        <v>209</v>
      </c>
      <c r="C8">
        <v>13</v>
      </c>
      <c r="D8">
        <v>3</v>
      </c>
      <c r="E8" s="3">
        <v>3727.5346</v>
      </c>
    </row>
    <row r="9" spans="2:5" x14ac:dyDescent="0.25">
      <c r="B9" s="6" t="s">
        <v>228</v>
      </c>
      <c r="C9">
        <v>85</v>
      </c>
      <c r="D9">
        <v>84</v>
      </c>
      <c r="E9" s="3">
        <v>3371.0279999999998</v>
      </c>
    </row>
    <row r="10" spans="2:5" x14ac:dyDescent="0.25">
      <c r="B10" s="6" t="s">
        <v>314</v>
      </c>
      <c r="C10">
        <v>12</v>
      </c>
      <c r="D10">
        <v>10</v>
      </c>
      <c r="E10" s="3">
        <v>2514.3020999999999</v>
      </c>
    </row>
    <row r="11" spans="2:5" x14ac:dyDescent="0.25">
      <c r="B11" s="6" t="s">
        <v>327</v>
      </c>
      <c r="C11">
        <v>5</v>
      </c>
      <c r="D11">
        <v>4</v>
      </c>
      <c r="E11" s="3">
        <v>2465.5724</v>
      </c>
    </row>
    <row r="12" spans="2:5" x14ac:dyDescent="0.25">
      <c r="B12" s="6" t="s">
        <v>349</v>
      </c>
      <c r="C12">
        <v>90</v>
      </c>
      <c r="D12">
        <v>84</v>
      </c>
      <c r="E12" s="3">
        <v>2274.4095000000002</v>
      </c>
    </row>
    <row r="13" spans="2:5" x14ac:dyDescent="0.25">
      <c r="B13" s="6" t="s">
        <v>352</v>
      </c>
      <c r="C13">
        <v>30</v>
      </c>
      <c r="D13">
        <v>27</v>
      </c>
      <c r="E13" s="3">
        <v>2262.8640999999998</v>
      </c>
    </row>
    <row r="14" spans="2:5" x14ac:dyDescent="0.25">
      <c r="B14" s="6" t="s">
        <v>356</v>
      </c>
      <c r="C14">
        <v>48</v>
      </c>
      <c r="D14">
        <v>46</v>
      </c>
      <c r="E14" s="3">
        <v>2240.0028000000002</v>
      </c>
    </row>
    <row r="15" spans="2:5" x14ac:dyDescent="0.25">
      <c r="B15" s="6" t="s">
        <v>362</v>
      </c>
      <c r="C15">
        <v>9</v>
      </c>
      <c r="D15">
        <v>7</v>
      </c>
      <c r="E15" s="3">
        <v>2205.1824000000001</v>
      </c>
    </row>
    <row r="16" spans="2:5" x14ac:dyDescent="0.25">
      <c r="B16" s="6" t="s">
        <v>367</v>
      </c>
      <c r="C16">
        <v>41</v>
      </c>
      <c r="D16">
        <v>40</v>
      </c>
      <c r="E16" s="3">
        <v>2142.0754000000002</v>
      </c>
    </row>
    <row r="17" spans="2:5" x14ac:dyDescent="0.25">
      <c r="B17" s="6" t="s">
        <v>395</v>
      </c>
      <c r="C17">
        <v>30</v>
      </c>
      <c r="D17">
        <v>29</v>
      </c>
      <c r="E17" s="3">
        <v>2026.9981</v>
      </c>
    </row>
    <row r="18" spans="2:5" x14ac:dyDescent="0.25">
      <c r="B18" s="6" t="s">
        <v>415</v>
      </c>
      <c r="C18">
        <v>23</v>
      </c>
      <c r="D18">
        <v>18</v>
      </c>
      <c r="E18" s="3">
        <v>1963.2293</v>
      </c>
    </row>
    <row r="19" spans="2:5" x14ac:dyDescent="0.25">
      <c r="B19" s="6" t="s">
        <v>417</v>
      </c>
      <c r="C19">
        <v>42</v>
      </c>
      <c r="D19">
        <v>28</v>
      </c>
      <c r="E19" s="3">
        <v>1952.8258000000001</v>
      </c>
    </row>
    <row r="20" spans="2:5" x14ac:dyDescent="0.25">
      <c r="B20" s="6" t="s">
        <v>440</v>
      </c>
      <c r="C20">
        <v>11</v>
      </c>
      <c r="D20">
        <v>6</v>
      </c>
      <c r="E20" s="3">
        <v>1877.5153</v>
      </c>
    </row>
    <row r="21" spans="2:5" x14ac:dyDescent="0.25">
      <c r="B21" s="6" t="s">
        <v>489</v>
      </c>
      <c r="C21">
        <v>20</v>
      </c>
      <c r="D21">
        <v>16</v>
      </c>
      <c r="E21" s="3">
        <v>1685.8634</v>
      </c>
    </row>
    <row r="22" spans="2:5" x14ac:dyDescent="0.25">
      <c r="B22" s="6" t="s">
        <v>514</v>
      </c>
      <c r="C22">
        <v>6</v>
      </c>
      <c r="D22">
        <v>5</v>
      </c>
      <c r="E22" s="3">
        <v>1627.4742000000001</v>
      </c>
    </row>
    <row r="23" spans="2:5" x14ac:dyDescent="0.25">
      <c r="B23" s="6" t="s">
        <v>547</v>
      </c>
      <c r="C23">
        <v>15</v>
      </c>
      <c r="D23">
        <v>13</v>
      </c>
      <c r="E23" s="3">
        <v>1521.8605</v>
      </c>
    </row>
    <row r="24" spans="2:5" x14ac:dyDescent="0.25">
      <c r="B24" s="6" t="s">
        <v>561</v>
      </c>
      <c r="C24">
        <v>35</v>
      </c>
      <c r="D24">
        <v>32</v>
      </c>
      <c r="E24" s="3">
        <v>1501.0992000000001</v>
      </c>
    </row>
    <row r="25" spans="2:5" x14ac:dyDescent="0.25">
      <c r="B25" s="6" t="s">
        <v>573</v>
      </c>
      <c r="C25">
        <v>36</v>
      </c>
      <c r="D25">
        <v>30</v>
      </c>
      <c r="E25" s="3">
        <v>1469.7828</v>
      </c>
    </row>
    <row r="26" spans="2:5" x14ac:dyDescent="0.25">
      <c r="B26" s="6" t="s">
        <v>575</v>
      </c>
      <c r="C26">
        <v>18</v>
      </c>
      <c r="D26">
        <v>10</v>
      </c>
      <c r="E26" s="3">
        <v>1468.3844999999999</v>
      </c>
    </row>
    <row r="27" spans="2:5" x14ac:dyDescent="0.25">
      <c r="B27" s="6" t="s">
        <v>587</v>
      </c>
      <c r="C27">
        <v>70</v>
      </c>
      <c r="D27">
        <v>65</v>
      </c>
      <c r="E27" s="3">
        <v>1454.4016999999999</v>
      </c>
    </row>
    <row r="28" spans="2:5" x14ac:dyDescent="0.25">
      <c r="B28" s="6" t="s">
        <v>597</v>
      </c>
      <c r="C28">
        <v>47</v>
      </c>
      <c r="D28">
        <v>39</v>
      </c>
      <c r="E28" s="3">
        <v>1433.9761000000001</v>
      </c>
    </row>
    <row r="29" spans="2:5" x14ac:dyDescent="0.25">
      <c r="B29" s="6" t="s">
        <v>607</v>
      </c>
      <c r="C29">
        <v>18</v>
      </c>
      <c r="D29">
        <v>13</v>
      </c>
      <c r="E29" s="3">
        <v>1408.0842</v>
      </c>
    </row>
    <row r="30" spans="2:5" x14ac:dyDescent="0.25">
      <c r="B30" s="6" t="s">
        <v>611</v>
      </c>
      <c r="C30">
        <v>12</v>
      </c>
      <c r="D30">
        <v>10</v>
      </c>
      <c r="E30" s="3">
        <v>1405.0606</v>
      </c>
    </row>
    <row r="31" spans="2:5" x14ac:dyDescent="0.25">
      <c r="B31" s="6" t="s">
        <v>614</v>
      </c>
      <c r="C31">
        <v>38</v>
      </c>
      <c r="D31">
        <v>37</v>
      </c>
      <c r="E31" s="3">
        <v>1399.7156</v>
      </c>
    </row>
    <row r="32" spans="2:5" x14ac:dyDescent="0.25">
      <c r="B32" s="6" t="s">
        <v>625</v>
      </c>
      <c r="C32">
        <v>7</v>
      </c>
      <c r="D32">
        <v>3</v>
      </c>
      <c r="E32" s="3">
        <v>1354.3140000000001</v>
      </c>
    </row>
    <row r="33" spans="2:5" x14ac:dyDescent="0.25">
      <c r="B33" s="6" t="s">
        <v>630</v>
      </c>
      <c r="C33">
        <v>60</v>
      </c>
      <c r="D33">
        <v>55</v>
      </c>
      <c r="E33" s="3">
        <v>1332.9945</v>
      </c>
    </row>
    <row r="34" spans="2:5" x14ac:dyDescent="0.25">
      <c r="B34" s="6" t="s">
        <v>653</v>
      </c>
      <c r="C34">
        <v>3</v>
      </c>
      <c r="D34">
        <v>-1</v>
      </c>
      <c r="E34" s="3">
        <v>1264.9067</v>
      </c>
    </row>
    <row r="35" spans="2:5" x14ac:dyDescent="0.25">
      <c r="B35" s="6" t="s">
        <v>688</v>
      </c>
      <c r="C35">
        <v>21</v>
      </c>
      <c r="D35">
        <v>19</v>
      </c>
      <c r="E35" s="3">
        <v>1197.5854999999999</v>
      </c>
    </row>
    <row r="36" spans="2:5" x14ac:dyDescent="0.25">
      <c r="B36" s="6" t="s">
        <v>693</v>
      </c>
      <c r="C36">
        <v>12</v>
      </c>
      <c r="D36">
        <v>10</v>
      </c>
      <c r="E36" s="3">
        <v>1186.6111000000001</v>
      </c>
    </row>
    <row r="37" spans="2:5" x14ac:dyDescent="0.25">
      <c r="B37" s="6" t="s">
        <v>725</v>
      </c>
      <c r="C37">
        <v>7</v>
      </c>
      <c r="D37">
        <v>6</v>
      </c>
      <c r="E37" s="3">
        <v>1107.6733999999999</v>
      </c>
    </row>
    <row r="38" spans="2:5" x14ac:dyDescent="0.25">
      <c r="B38" s="6" t="s">
        <v>731</v>
      </c>
      <c r="C38">
        <v>80</v>
      </c>
      <c r="D38">
        <v>68</v>
      </c>
      <c r="E38" s="3">
        <v>1103.0117</v>
      </c>
    </row>
    <row r="39" spans="2:5" x14ac:dyDescent="0.25">
      <c r="B39" s="6" t="s">
        <v>736</v>
      </c>
      <c r="C39">
        <v>25</v>
      </c>
      <c r="D39">
        <v>17</v>
      </c>
      <c r="E39" s="3">
        <v>1093.3815</v>
      </c>
    </row>
    <row r="40" spans="2:5" x14ac:dyDescent="0.25">
      <c r="B40" s="6" t="s">
        <v>743</v>
      </c>
      <c r="C40">
        <v>38</v>
      </c>
      <c r="D40">
        <v>35</v>
      </c>
      <c r="E40" s="3">
        <v>1074.5554</v>
      </c>
    </row>
    <row r="41" spans="2:5" x14ac:dyDescent="0.25">
      <c r="B41" s="6" t="s">
        <v>776</v>
      </c>
      <c r="C41">
        <v>45</v>
      </c>
      <c r="D41">
        <v>41</v>
      </c>
      <c r="E41" s="3">
        <v>1021.1287</v>
      </c>
    </row>
    <row r="42" spans="2:5" x14ac:dyDescent="0.25">
      <c r="B42" s="6" t="s">
        <v>806</v>
      </c>
      <c r="C42">
        <v>26</v>
      </c>
      <c r="D42">
        <v>11</v>
      </c>
      <c r="E42" s="3">
        <v>971.01400000000001</v>
      </c>
    </row>
    <row r="43" spans="2:5" x14ac:dyDescent="0.25">
      <c r="B43" s="6" t="s">
        <v>809</v>
      </c>
      <c r="C43">
        <v>36</v>
      </c>
      <c r="D43">
        <v>23</v>
      </c>
      <c r="E43" s="3">
        <v>966.44240000000002</v>
      </c>
    </row>
    <row r="44" spans="2:5" x14ac:dyDescent="0.25">
      <c r="B44" s="6" t="s">
        <v>812</v>
      </c>
      <c r="C44">
        <v>46</v>
      </c>
      <c r="D44">
        <v>38</v>
      </c>
      <c r="E44" s="3">
        <v>965.33910000000003</v>
      </c>
    </row>
    <row r="45" spans="2:5" x14ac:dyDescent="0.25">
      <c r="B45" s="6" t="s">
        <v>821</v>
      </c>
      <c r="C45">
        <v>77</v>
      </c>
      <c r="D45">
        <v>69</v>
      </c>
      <c r="E45" s="3">
        <v>946.60699999999997</v>
      </c>
    </row>
    <row r="46" spans="2:5" x14ac:dyDescent="0.25">
      <c r="B46" s="6" t="s">
        <v>829</v>
      </c>
      <c r="C46">
        <v>65</v>
      </c>
      <c r="D46">
        <v>60</v>
      </c>
      <c r="E46" s="3">
        <v>916.09939999999995</v>
      </c>
    </row>
    <row r="47" spans="2:5" x14ac:dyDescent="0.25">
      <c r="B47" s="6" t="s">
        <v>866</v>
      </c>
      <c r="C47">
        <v>30</v>
      </c>
      <c r="D47">
        <v>20</v>
      </c>
      <c r="E47" s="3">
        <v>864.79470000000003</v>
      </c>
    </row>
    <row r="48" spans="2:5" x14ac:dyDescent="0.25">
      <c r="B48" s="6" t="s">
        <v>926</v>
      </c>
      <c r="C48">
        <v>15</v>
      </c>
      <c r="D48">
        <v>14</v>
      </c>
      <c r="E48" s="3">
        <v>812.00609999999995</v>
      </c>
    </row>
    <row r="49" spans="2:5" x14ac:dyDescent="0.25">
      <c r="B49" s="6" t="s">
        <v>954</v>
      </c>
      <c r="C49">
        <v>32</v>
      </c>
      <c r="D49">
        <v>28</v>
      </c>
      <c r="E49" s="3">
        <v>786.74959999999999</v>
      </c>
    </row>
    <row r="50" spans="2:5" x14ac:dyDescent="0.25">
      <c r="B50" s="6" t="s">
        <v>961</v>
      </c>
      <c r="C50">
        <v>11</v>
      </c>
      <c r="D50">
        <v>9</v>
      </c>
      <c r="E50" s="3">
        <v>777.71510000000001</v>
      </c>
    </row>
    <row r="51" spans="2:5" x14ac:dyDescent="0.25">
      <c r="B51" s="6" t="s">
        <v>967</v>
      </c>
      <c r="C51">
        <v>22</v>
      </c>
      <c r="D51">
        <v>17</v>
      </c>
      <c r="E51" s="3">
        <v>773.52059999999994</v>
      </c>
    </row>
    <row r="52" spans="2:5" x14ac:dyDescent="0.25">
      <c r="B52" s="6" t="s">
        <v>977</v>
      </c>
      <c r="C52">
        <v>8</v>
      </c>
      <c r="D52">
        <v>6</v>
      </c>
      <c r="E52" s="3">
        <v>764.94230000000005</v>
      </c>
    </row>
    <row r="53" spans="2:5" x14ac:dyDescent="0.25">
      <c r="B53" s="6" t="s">
        <v>989</v>
      </c>
      <c r="C53">
        <v>33</v>
      </c>
      <c r="D53">
        <v>25</v>
      </c>
      <c r="E53" s="3">
        <v>754.75789999999995</v>
      </c>
    </row>
    <row r="54" spans="2:5" x14ac:dyDescent="0.25">
      <c r="B54" s="6" t="s">
        <v>995</v>
      </c>
      <c r="C54">
        <v>21</v>
      </c>
      <c r="D54">
        <v>6</v>
      </c>
      <c r="E54" s="3">
        <v>751.24440000000004</v>
      </c>
    </row>
    <row r="55" spans="2:5" x14ac:dyDescent="0.25">
      <c r="B55" s="6" t="s">
        <v>1007</v>
      </c>
      <c r="C55">
        <v>2</v>
      </c>
      <c r="D55">
        <v>1</v>
      </c>
      <c r="E55" s="3">
        <v>736.8569</v>
      </c>
    </row>
    <row r="56" spans="2:5" x14ac:dyDescent="0.25">
      <c r="B56" s="5" t="s">
        <v>152</v>
      </c>
      <c r="C56">
        <v>1029</v>
      </c>
      <c r="D56">
        <v>849</v>
      </c>
      <c r="E56" s="3">
        <v>51633.715499999998</v>
      </c>
    </row>
    <row r="57" spans="2:5" x14ac:dyDescent="0.25">
      <c r="B57" s="6" t="s">
        <v>150</v>
      </c>
      <c r="C57">
        <v>30</v>
      </c>
      <c r="D57">
        <v>28</v>
      </c>
      <c r="E57" s="3">
        <v>4971.4548999999997</v>
      </c>
    </row>
    <row r="58" spans="2:5" x14ac:dyDescent="0.25">
      <c r="B58" s="6" t="s">
        <v>245</v>
      </c>
      <c r="C58">
        <v>18</v>
      </c>
      <c r="D58">
        <v>15</v>
      </c>
      <c r="E58" s="3">
        <v>3201.1487999999999</v>
      </c>
    </row>
    <row r="59" spans="2:5" x14ac:dyDescent="0.25">
      <c r="B59" s="6" t="s">
        <v>268</v>
      </c>
      <c r="C59">
        <v>60</v>
      </c>
      <c r="D59">
        <v>45</v>
      </c>
      <c r="E59" s="3">
        <v>2812.6795999999999</v>
      </c>
    </row>
    <row r="60" spans="2:5" x14ac:dyDescent="0.25">
      <c r="B60" s="6" t="s">
        <v>275</v>
      </c>
      <c r="C60">
        <v>25</v>
      </c>
      <c r="D60">
        <v>20</v>
      </c>
      <c r="E60" s="3">
        <v>2773.5884000000001</v>
      </c>
    </row>
    <row r="61" spans="2:5" x14ac:dyDescent="0.25">
      <c r="B61" s="6" t="s">
        <v>279</v>
      </c>
      <c r="C61">
        <v>20</v>
      </c>
      <c r="D61">
        <v>16</v>
      </c>
      <c r="E61" s="3">
        <v>2729.3507</v>
      </c>
    </row>
    <row r="62" spans="2:5" x14ac:dyDescent="0.25">
      <c r="B62" s="6" t="s">
        <v>284</v>
      </c>
      <c r="C62">
        <v>98</v>
      </c>
      <c r="D62">
        <v>86</v>
      </c>
      <c r="E62" s="3">
        <v>2696.6318999999999</v>
      </c>
    </row>
    <row r="63" spans="2:5" x14ac:dyDescent="0.25">
      <c r="B63" s="6" t="s">
        <v>305</v>
      </c>
      <c r="C63">
        <v>4</v>
      </c>
      <c r="D63">
        <v>2</v>
      </c>
      <c r="E63" s="3">
        <v>2578.6271999999999</v>
      </c>
    </row>
    <row r="64" spans="2:5" x14ac:dyDescent="0.25">
      <c r="B64" s="6" t="s">
        <v>357</v>
      </c>
      <c r="C64">
        <v>30</v>
      </c>
      <c r="D64">
        <v>22</v>
      </c>
      <c r="E64" s="3">
        <v>2235.9439000000002</v>
      </c>
    </row>
    <row r="65" spans="2:5" x14ac:dyDescent="0.25">
      <c r="B65" s="6" t="s">
        <v>427</v>
      </c>
      <c r="C65">
        <v>14</v>
      </c>
      <c r="D65">
        <v>12</v>
      </c>
      <c r="E65" s="3">
        <v>1918.6756</v>
      </c>
    </row>
    <row r="66" spans="2:5" x14ac:dyDescent="0.25">
      <c r="B66" s="6" t="s">
        <v>479</v>
      </c>
      <c r="C66">
        <v>10</v>
      </c>
      <c r="D66">
        <v>8</v>
      </c>
      <c r="E66" s="3">
        <v>1710.2375</v>
      </c>
    </row>
    <row r="67" spans="2:5" x14ac:dyDescent="0.25">
      <c r="B67" s="6" t="s">
        <v>524</v>
      </c>
      <c r="C67">
        <v>10</v>
      </c>
      <c r="D67">
        <v>9</v>
      </c>
      <c r="E67" s="3">
        <v>1600.7610999999999</v>
      </c>
    </row>
    <row r="68" spans="2:5" x14ac:dyDescent="0.25">
      <c r="B68" s="6" t="s">
        <v>532</v>
      </c>
      <c r="C68">
        <v>32</v>
      </c>
      <c r="D68">
        <v>31</v>
      </c>
      <c r="E68" s="3">
        <v>1558.2846</v>
      </c>
    </row>
    <row r="69" spans="2:5" x14ac:dyDescent="0.25">
      <c r="B69" s="6" t="s">
        <v>549</v>
      </c>
      <c r="C69">
        <v>60</v>
      </c>
      <c r="D69">
        <v>55</v>
      </c>
      <c r="E69" s="3">
        <v>1519.3447000000001</v>
      </c>
    </row>
    <row r="70" spans="2:5" x14ac:dyDescent="0.25">
      <c r="B70" s="6" t="s">
        <v>581</v>
      </c>
      <c r="C70">
        <v>55</v>
      </c>
      <c r="D70">
        <v>51</v>
      </c>
      <c r="E70" s="3">
        <v>1460.6844000000001</v>
      </c>
    </row>
    <row r="71" spans="2:5" x14ac:dyDescent="0.25">
      <c r="B71" s="6" t="s">
        <v>633</v>
      </c>
      <c r="C71">
        <v>2</v>
      </c>
      <c r="D71">
        <v>0</v>
      </c>
      <c r="E71" s="3">
        <v>1326.3001999999999</v>
      </c>
    </row>
    <row r="72" spans="2:5" x14ac:dyDescent="0.25">
      <c r="B72" s="6" t="s">
        <v>641</v>
      </c>
      <c r="C72">
        <v>15</v>
      </c>
      <c r="D72">
        <v>8</v>
      </c>
      <c r="E72" s="3">
        <v>1291.1366</v>
      </c>
    </row>
    <row r="73" spans="2:5" x14ac:dyDescent="0.25">
      <c r="B73" s="6" t="s">
        <v>646</v>
      </c>
      <c r="C73">
        <v>8</v>
      </c>
      <c r="D73">
        <v>5</v>
      </c>
      <c r="E73" s="3">
        <v>1281.6939</v>
      </c>
    </row>
    <row r="74" spans="2:5" x14ac:dyDescent="0.25">
      <c r="B74" s="6" t="s">
        <v>649</v>
      </c>
      <c r="C74">
        <v>27</v>
      </c>
      <c r="D74">
        <v>24</v>
      </c>
      <c r="E74" s="3">
        <v>1278.5516</v>
      </c>
    </row>
    <row r="75" spans="2:5" x14ac:dyDescent="0.25">
      <c r="B75" s="6" t="s">
        <v>714</v>
      </c>
      <c r="C75">
        <v>4</v>
      </c>
      <c r="D75">
        <v>3</v>
      </c>
      <c r="E75" s="3">
        <v>1135.5552</v>
      </c>
    </row>
    <row r="76" spans="2:5" x14ac:dyDescent="0.25">
      <c r="B76" s="6" t="s">
        <v>716</v>
      </c>
      <c r="C76">
        <v>50</v>
      </c>
      <c r="D76">
        <v>38</v>
      </c>
      <c r="E76" s="3">
        <v>1130.9366</v>
      </c>
    </row>
    <row r="77" spans="2:5" x14ac:dyDescent="0.25">
      <c r="B77" s="6" t="s">
        <v>737</v>
      </c>
      <c r="C77">
        <v>65</v>
      </c>
      <c r="D77">
        <v>55</v>
      </c>
      <c r="E77" s="3">
        <v>1093.3466000000001</v>
      </c>
    </row>
    <row r="78" spans="2:5" x14ac:dyDescent="0.25">
      <c r="B78" s="6" t="s">
        <v>819</v>
      </c>
      <c r="C78">
        <v>34</v>
      </c>
      <c r="D78">
        <v>30</v>
      </c>
      <c r="E78" s="3">
        <v>947.21199999999999</v>
      </c>
    </row>
    <row r="79" spans="2:5" x14ac:dyDescent="0.25">
      <c r="B79" s="6" t="s">
        <v>822</v>
      </c>
      <c r="C79">
        <v>5</v>
      </c>
      <c r="D79">
        <v>-8</v>
      </c>
      <c r="E79" s="3">
        <v>935.03480000000002</v>
      </c>
    </row>
    <row r="80" spans="2:5" x14ac:dyDescent="0.25">
      <c r="B80" s="6" t="s">
        <v>824</v>
      </c>
      <c r="C80">
        <v>80</v>
      </c>
      <c r="D80">
        <v>66</v>
      </c>
      <c r="E80" s="3">
        <v>926.89530000000002</v>
      </c>
    </row>
    <row r="81" spans="2:5" x14ac:dyDescent="0.25">
      <c r="B81" s="6" t="s">
        <v>856</v>
      </c>
      <c r="C81">
        <v>97</v>
      </c>
      <c r="D81">
        <v>87</v>
      </c>
      <c r="E81" s="3">
        <v>871.3972</v>
      </c>
    </row>
    <row r="82" spans="2:5" x14ac:dyDescent="0.25">
      <c r="B82" s="6" t="s">
        <v>877</v>
      </c>
      <c r="C82">
        <v>12</v>
      </c>
      <c r="D82">
        <v>8</v>
      </c>
      <c r="E82" s="3">
        <v>855.36649999999997</v>
      </c>
    </row>
    <row r="83" spans="2:5" x14ac:dyDescent="0.25">
      <c r="B83" s="6" t="s">
        <v>885</v>
      </c>
      <c r="C83">
        <v>30</v>
      </c>
      <c r="D83">
        <v>27</v>
      </c>
      <c r="E83" s="3">
        <v>850.19889999999998</v>
      </c>
    </row>
    <row r="84" spans="2:5" x14ac:dyDescent="0.25">
      <c r="B84" s="6" t="s">
        <v>916</v>
      </c>
      <c r="C84">
        <v>33</v>
      </c>
      <c r="D84">
        <v>24</v>
      </c>
      <c r="E84" s="3">
        <v>816.45439999999996</v>
      </c>
    </row>
    <row r="85" spans="2:5" x14ac:dyDescent="0.25">
      <c r="B85" s="6" t="s">
        <v>922</v>
      </c>
      <c r="C85">
        <v>18</v>
      </c>
      <c r="D85">
        <v>11</v>
      </c>
      <c r="E85" s="3">
        <v>814.31399999999996</v>
      </c>
    </row>
    <row r="86" spans="2:5" x14ac:dyDescent="0.25">
      <c r="B86" s="6" t="s">
        <v>950</v>
      </c>
      <c r="C86">
        <v>10</v>
      </c>
      <c r="D86">
        <v>5</v>
      </c>
      <c r="E86" s="3">
        <v>794.00450000000001</v>
      </c>
    </row>
    <row r="87" spans="2:5" x14ac:dyDescent="0.25">
      <c r="B87" s="6" t="s">
        <v>968</v>
      </c>
      <c r="C87">
        <v>55</v>
      </c>
      <c r="D87">
        <v>52</v>
      </c>
      <c r="E87" s="3">
        <v>771.86400000000003</v>
      </c>
    </row>
    <row r="88" spans="2:5" x14ac:dyDescent="0.25">
      <c r="B88" s="6" t="s">
        <v>1001</v>
      </c>
      <c r="C88">
        <v>18</v>
      </c>
      <c r="D88">
        <v>14</v>
      </c>
      <c r="E88" s="3">
        <v>746.03989999999999</v>
      </c>
    </row>
    <row r="89" spans="2:5" x14ac:dyDescent="0.25">
      <c r="B89" s="5" t="s">
        <v>69</v>
      </c>
      <c r="C89">
        <v>137</v>
      </c>
      <c r="D89">
        <v>111</v>
      </c>
      <c r="E89" s="3">
        <v>16492.918400000002</v>
      </c>
    </row>
    <row r="90" spans="2:5" x14ac:dyDescent="0.25">
      <c r="B90" s="6" t="s">
        <v>68</v>
      </c>
      <c r="C90">
        <v>12</v>
      </c>
      <c r="D90">
        <v>10</v>
      </c>
      <c r="E90" s="3">
        <v>8282.8667999999998</v>
      </c>
    </row>
    <row r="91" spans="2:5" x14ac:dyDescent="0.25">
      <c r="B91" s="6" t="s">
        <v>297</v>
      </c>
      <c r="C91">
        <v>10</v>
      </c>
      <c r="D91">
        <v>8</v>
      </c>
      <c r="E91" s="3">
        <v>2623.9495000000002</v>
      </c>
    </row>
    <row r="92" spans="2:5" x14ac:dyDescent="0.25">
      <c r="B92" s="6" t="s">
        <v>434</v>
      </c>
      <c r="C92">
        <v>11</v>
      </c>
      <c r="D92">
        <v>7</v>
      </c>
      <c r="E92" s="3">
        <v>1901.165</v>
      </c>
    </row>
    <row r="93" spans="2:5" x14ac:dyDescent="0.25">
      <c r="B93" s="6" t="s">
        <v>457</v>
      </c>
      <c r="C93">
        <v>44</v>
      </c>
      <c r="D93">
        <v>39</v>
      </c>
      <c r="E93" s="3">
        <v>1790.0996</v>
      </c>
    </row>
    <row r="94" spans="2:5" x14ac:dyDescent="0.25">
      <c r="B94" s="6" t="s">
        <v>717</v>
      </c>
      <c r="C94">
        <v>37</v>
      </c>
      <c r="D94">
        <v>27</v>
      </c>
      <c r="E94" s="3">
        <v>1127.9387999999999</v>
      </c>
    </row>
    <row r="95" spans="2:5" x14ac:dyDescent="0.25">
      <c r="B95" s="6" t="s">
        <v>976</v>
      </c>
      <c r="C95">
        <v>23</v>
      </c>
      <c r="D95">
        <v>20</v>
      </c>
      <c r="E95" s="3">
        <v>766.89869999999996</v>
      </c>
    </row>
    <row r="96" spans="2:5" x14ac:dyDescent="0.25">
      <c r="B96" s="5" t="s">
        <v>108</v>
      </c>
      <c r="C96">
        <v>645</v>
      </c>
      <c r="D96">
        <v>550</v>
      </c>
      <c r="E96" s="3">
        <v>63511.976199999997</v>
      </c>
    </row>
    <row r="97" spans="2:5" x14ac:dyDescent="0.25">
      <c r="B97" s="6" t="s">
        <v>106</v>
      </c>
      <c r="C97">
        <v>52</v>
      </c>
      <c r="D97">
        <v>50</v>
      </c>
      <c r="E97" s="3">
        <v>6337.2973000000002</v>
      </c>
    </row>
    <row r="98" spans="2:5" x14ac:dyDescent="0.25">
      <c r="B98" s="6" t="s">
        <v>115</v>
      </c>
      <c r="C98">
        <v>27</v>
      </c>
      <c r="D98">
        <v>20</v>
      </c>
      <c r="E98" s="3">
        <v>6145.4571999999998</v>
      </c>
    </row>
    <row r="99" spans="2:5" x14ac:dyDescent="0.25">
      <c r="B99" s="6" t="s">
        <v>126</v>
      </c>
      <c r="C99">
        <v>10</v>
      </c>
      <c r="D99">
        <v>8</v>
      </c>
      <c r="E99" s="3">
        <v>5835.3894</v>
      </c>
    </row>
    <row r="100" spans="2:5" x14ac:dyDescent="0.25">
      <c r="B100" s="6" t="s">
        <v>174</v>
      </c>
      <c r="C100">
        <v>40</v>
      </c>
      <c r="D100">
        <v>35</v>
      </c>
      <c r="E100" s="3">
        <v>4401.8690999999999</v>
      </c>
    </row>
    <row r="101" spans="2:5" x14ac:dyDescent="0.25">
      <c r="B101" s="6" t="s">
        <v>196</v>
      </c>
      <c r="C101">
        <v>40</v>
      </c>
      <c r="D101">
        <v>34</v>
      </c>
      <c r="E101" s="3">
        <v>4089.6556999999998</v>
      </c>
    </row>
    <row r="102" spans="2:5" x14ac:dyDescent="0.25">
      <c r="B102" s="6" t="s">
        <v>207</v>
      </c>
      <c r="C102">
        <v>25</v>
      </c>
      <c r="D102">
        <v>22</v>
      </c>
      <c r="E102" s="3">
        <v>3775.1386000000002</v>
      </c>
    </row>
    <row r="103" spans="2:5" x14ac:dyDescent="0.25">
      <c r="B103" s="6" t="s">
        <v>242</v>
      </c>
      <c r="C103">
        <v>46</v>
      </c>
      <c r="D103">
        <v>45</v>
      </c>
      <c r="E103" s="3">
        <v>3210.2557000000002</v>
      </c>
    </row>
    <row r="104" spans="2:5" x14ac:dyDescent="0.25">
      <c r="B104" s="6" t="s">
        <v>259</v>
      </c>
      <c r="C104">
        <v>40</v>
      </c>
      <c r="D104">
        <v>39</v>
      </c>
      <c r="E104" s="3">
        <v>2994.2887999999998</v>
      </c>
    </row>
    <row r="105" spans="2:5" x14ac:dyDescent="0.25">
      <c r="B105" s="6" t="s">
        <v>306</v>
      </c>
      <c r="C105">
        <v>16</v>
      </c>
      <c r="D105">
        <v>14</v>
      </c>
      <c r="E105" s="3">
        <v>2564.3741</v>
      </c>
    </row>
    <row r="106" spans="2:5" x14ac:dyDescent="0.25">
      <c r="B106" s="6" t="s">
        <v>320</v>
      </c>
      <c r="C106">
        <v>71</v>
      </c>
      <c r="D106">
        <v>50</v>
      </c>
      <c r="E106" s="3">
        <v>2482.1293000000001</v>
      </c>
    </row>
    <row r="107" spans="2:5" x14ac:dyDescent="0.25">
      <c r="B107" s="6" t="s">
        <v>375</v>
      </c>
      <c r="C107">
        <v>23</v>
      </c>
      <c r="D107">
        <v>22</v>
      </c>
      <c r="E107" s="3">
        <v>2107.0365000000002</v>
      </c>
    </row>
    <row r="108" spans="2:5" x14ac:dyDescent="0.25">
      <c r="B108" s="6" t="s">
        <v>406</v>
      </c>
      <c r="C108">
        <v>5</v>
      </c>
      <c r="D108">
        <v>4</v>
      </c>
      <c r="E108" s="3">
        <v>1996.5182</v>
      </c>
    </row>
    <row r="109" spans="2:5" x14ac:dyDescent="0.25">
      <c r="B109" s="6" t="s">
        <v>419</v>
      </c>
      <c r="C109">
        <v>28</v>
      </c>
      <c r="D109">
        <v>24</v>
      </c>
      <c r="E109" s="3">
        <v>1944.0214000000001</v>
      </c>
    </row>
    <row r="110" spans="2:5" x14ac:dyDescent="0.25">
      <c r="B110" s="6" t="s">
        <v>451</v>
      </c>
      <c r="C110">
        <v>5</v>
      </c>
      <c r="D110">
        <v>4</v>
      </c>
      <c r="E110" s="3">
        <v>1802.2541000000001</v>
      </c>
    </row>
    <row r="111" spans="2:5" x14ac:dyDescent="0.25">
      <c r="B111" s="6" t="s">
        <v>468</v>
      </c>
      <c r="C111">
        <v>5</v>
      </c>
      <c r="D111">
        <v>3</v>
      </c>
      <c r="E111" s="3">
        <v>1759.1475</v>
      </c>
    </row>
    <row r="112" spans="2:5" x14ac:dyDescent="0.25">
      <c r="B112" s="6" t="s">
        <v>482</v>
      </c>
      <c r="C112">
        <v>18</v>
      </c>
      <c r="D112">
        <v>14</v>
      </c>
      <c r="E112" s="3">
        <v>1700.1602</v>
      </c>
    </row>
    <row r="113" spans="2:5" x14ac:dyDescent="0.25">
      <c r="B113" s="6" t="s">
        <v>621</v>
      </c>
      <c r="C113">
        <v>9</v>
      </c>
      <c r="D113">
        <v>8</v>
      </c>
      <c r="E113" s="3">
        <v>1373.0107</v>
      </c>
    </row>
    <row r="114" spans="2:5" x14ac:dyDescent="0.25">
      <c r="B114" s="6" t="s">
        <v>657</v>
      </c>
      <c r="C114">
        <v>32</v>
      </c>
      <c r="D114">
        <v>29</v>
      </c>
      <c r="E114" s="3">
        <v>1254.748</v>
      </c>
    </row>
    <row r="115" spans="2:5" x14ac:dyDescent="0.25">
      <c r="B115" s="6" t="s">
        <v>663</v>
      </c>
      <c r="C115">
        <v>11</v>
      </c>
      <c r="D115">
        <v>9</v>
      </c>
      <c r="E115" s="3">
        <v>1240.6025</v>
      </c>
    </row>
    <row r="116" spans="2:5" x14ac:dyDescent="0.25">
      <c r="B116" s="6" t="s">
        <v>734</v>
      </c>
      <c r="C116">
        <v>51</v>
      </c>
      <c r="D116">
        <v>46</v>
      </c>
      <c r="E116" s="3">
        <v>1095.0864999999999</v>
      </c>
    </row>
    <row r="117" spans="2:5" x14ac:dyDescent="0.25">
      <c r="B117" s="6" t="s">
        <v>769</v>
      </c>
      <c r="C117">
        <v>5</v>
      </c>
      <c r="D117">
        <v>4</v>
      </c>
      <c r="E117" s="3">
        <v>1033.3862999999999</v>
      </c>
    </row>
    <row r="118" spans="2:5" x14ac:dyDescent="0.25">
      <c r="B118" s="6" t="s">
        <v>775</v>
      </c>
      <c r="C118">
        <v>8</v>
      </c>
      <c r="D118">
        <v>7</v>
      </c>
      <c r="E118" s="3">
        <v>1022.9622000000001</v>
      </c>
    </row>
    <row r="119" spans="2:5" x14ac:dyDescent="0.25">
      <c r="B119" s="6" t="s">
        <v>852</v>
      </c>
      <c r="C119">
        <v>28</v>
      </c>
      <c r="D119">
        <v>23</v>
      </c>
      <c r="E119" s="3">
        <v>890.89459999999997</v>
      </c>
    </row>
    <row r="120" spans="2:5" x14ac:dyDescent="0.25">
      <c r="B120" s="6" t="s">
        <v>886</v>
      </c>
      <c r="C120">
        <v>23</v>
      </c>
      <c r="D120">
        <v>17</v>
      </c>
      <c r="E120" s="3">
        <v>847.94529999999997</v>
      </c>
    </row>
    <row r="121" spans="2:5" x14ac:dyDescent="0.25">
      <c r="B121" s="6" t="s">
        <v>937</v>
      </c>
      <c r="C121">
        <v>18</v>
      </c>
      <c r="D121">
        <v>12</v>
      </c>
      <c r="E121" s="3">
        <v>807.77409999999998</v>
      </c>
    </row>
    <row r="122" spans="2:5" x14ac:dyDescent="0.25">
      <c r="B122" s="6" t="s">
        <v>943</v>
      </c>
      <c r="C122">
        <v>9</v>
      </c>
      <c r="D122">
        <v>7</v>
      </c>
      <c r="E122" s="3">
        <v>800.5729</v>
      </c>
    </row>
    <row r="123" spans="2:5" x14ac:dyDescent="0.25">
      <c r="B123" s="5" t="s">
        <v>16</v>
      </c>
      <c r="C123">
        <v>1204</v>
      </c>
      <c r="D123">
        <v>959</v>
      </c>
      <c r="E123" s="3">
        <v>153538.53630000004</v>
      </c>
    </row>
    <row r="124" spans="2:5" x14ac:dyDescent="0.25">
      <c r="B124" s="6" t="s">
        <v>14</v>
      </c>
      <c r="C124">
        <v>57</v>
      </c>
      <c r="D124">
        <v>55</v>
      </c>
      <c r="E124" s="3">
        <v>21849.892500000002</v>
      </c>
    </row>
    <row r="125" spans="2:5" x14ac:dyDescent="0.25">
      <c r="B125" s="6" t="s">
        <v>26</v>
      </c>
      <c r="C125">
        <v>12</v>
      </c>
      <c r="D125">
        <v>11</v>
      </c>
      <c r="E125" s="3">
        <v>13480.731</v>
      </c>
    </row>
    <row r="126" spans="2:5" x14ac:dyDescent="0.25">
      <c r="B126" s="6" t="s">
        <v>40</v>
      </c>
      <c r="C126">
        <v>40</v>
      </c>
      <c r="D126">
        <v>38</v>
      </c>
      <c r="E126" s="3">
        <v>11949.179</v>
      </c>
    </row>
    <row r="127" spans="2:5" x14ac:dyDescent="0.25">
      <c r="B127" s="6" t="s">
        <v>59</v>
      </c>
      <c r="C127">
        <v>14</v>
      </c>
      <c r="D127">
        <v>12</v>
      </c>
      <c r="E127" s="3">
        <v>9179.3318999999992</v>
      </c>
    </row>
    <row r="128" spans="2:5" x14ac:dyDescent="0.25">
      <c r="B128" s="6" t="s">
        <v>62</v>
      </c>
      <c r="C128">
        <v>35</v>
      </c>
      <c r="D128">
        <v>33</v>
      </c>
      <c r="E128" s="3">
        <v>8543.9807999999994</v>
      </c>
    </row>
    <row r="129" spans="2:5" x14ac:dyDescent="0.25">
      <c r="B129" s="6" t="s">
        <v>95</v>
      </c>
      <c r="C129">
        <v>21</v>
      </c>
      <c r="D129">
        <v>17</v>
      </c>
      <c r="E129" s="3">
        <v>6641.6792999999998</v>
      </c>
    </row>
    <row r="130" spans="2:5" x14ac:dyDescent="0.25">
      <c r="B130" s="6" t="s">
        <v>110</v>
      </c>
      <c r="C130">
        <v>11</v>
      </c>
      <c r="D130">
        <v>6</v>
      </c>
      <c r="E130" s="3">
        <v>6287.4646000000002</v>
      </c>
    </row>
    <row r="131" spans="2:5" x14ac:dyDescent="0.25">
      <c r="B131" s="6" t="s">
        <v>154</v>
      </c>
      <c r="C131">
        <v>25</v>
      </c>
      <c r="D131">
        <v>17</v>
      </c>
      <c r="E131" s="3">
        <v>4916.2166999999999</v>
      </c>
    </row>
    <row r="132" spans="2:5" x14ac:dyDescent="0.25">
      <c r="B132" s="6" t="s">
        <v>158</v>
      </c>
      <c r="C132">
        <v>7</v>
      </c>
      <c r="D132">
        <v>3</v>
      </c>
      <c r="E132" s="3">
        <v>4908.4032999999999</v>
      </c>
    </row>
    <row r="133" spans="2:5" x14ac:dyDescent="0.25">
      <c r="B133" s="6" t="s">
        <v>161</v>
      </c>
      <c r="C133">
        <v>30</v>
      </c>
      <c r="D133">
        <v>24</v>
      </c>
      <c r="E133" s="3">
        <v>4899.0268999999998</v>
      </c>
    </row>
    <row r="134" spans="2:5" x14ac:dyDescent="0.25">
      <c r="B134" s="6" t="s">
        <v>184</v>
      </c>
      <c r="C134">
        <v>30</v>
      </c>
      <c r="D134">
        <v>27</v>
      </c>
      <c r="E134" s="3">
        <v>4279.7745999999997</v>
      </c>
    </row>
    <row r="135" spans="2:5" x14ac:dyDescent="0.25">
      <c r="B135" s="6" t="s">
        <v>198</v>
      </c>
      <c r="C135">
        <v>12</v>
      </c>
      <c r="D135">
        <v>10</v>
      </c>
      <c r="E135" s="3">
        <v>4088.0160000000001</v>
      </c>
    </row>
    <row r="136" spans="2:5" x14ac:dyDescent="0.25">
      <c r="B136" s="6" t="s">
        <v>287</v>
      </c>
      <c r="C136">
        <v>11</v>
      </c>
      <c r="D136">
        <v>9</v>
      </c>
      <c r="E136" s="3">
        <v>2689.6147999999998</v>
      </c>
    </row>
    <row r="137" spans="2:5" x14ac:dyDescent="0.25">
      <c r="B137" s="6" t="s">
        <v>295</v>
      </c>
      <c r="C137">
        <v>6</v>
      </c>
      <c r="D137">
        <v>4</v>
      </c>
      <c r="E137" s="3">
        <v>2635.922</v>
      </c>
    </row>
    <row r="138" spans="2:5" x14ac:dyDescent="0.25">
      <c r="B138" s="6" t="s">
        <v>299</v>
      </c>
      <c r="C138">
        <v>4</v>
      </c>
      <c r="D138">
        <v>2</v>
      </c>
      <c r="E138" s="3">
        <v>2620.7597999999998</v>
      </c>
    </row>
    <row r="139" spans="2:5" x14ac:dyDescent="0.25">
      <c r="B139" s="6" t="s">
        <v>334</v>
      </c>
      <c r="C139">
        <v>15</v>
      </c>
      <c r="D139">
        <v>12</v>
      </c>
      <c r="E139" s="3">
        <v>2391.8562999999999</v>
      </c>
    </row>
    <row r="140" spans="2:5" x14ac:dyDescent="0.25">
      <c r="B140" s="6" t="s">
        <v>343</v>
      </c>
      <c r="C140">
        <v>63</v>
      </c>
      <c r="D140">
        <v>52</v>
      </c>
      <c r="E140" s="3">
        <v>2345.0086000000001</v>
      </c>
    </row>
    <row r="141" spans="2:5" x14ac:dyDescent="0.25">
      <c r="B141" s="6" t="s">
        <v>344</v>
      </c>
      <c r="C141">
        <v>12</v>
      </c>
      <c r="D141">
        <v>9</v>
      </c>
      <c r="E141" s="3">
        <v>2339.9301999999998</v>
      </c>
    </row>
    <row r="142" spans="2:5" x14ac:dyDescent="0.25">
      <c r="B142" s="6" t="s">
        <v>353</v>
      </c>
      <c r="C142">
        <v>8</v>
      </c>
      <c r="D142">
        <v>5</v>
      </c>
      <c r="E142" s="3">
        <v>2248.4713000000002</v>
      </c>
    </row>
    <row r="143" spans="2:5" x14ac:dyDescent="0.25">
      <c r="B143" s="6" t="s">
        <v>363</v>
      </c>
      <c r="C143">
        <v>18</v>
      </c>
      <c r="D143">
        <v>13</v>
      </c>
      <c r="E143" s="3">
        <v>2171.9647</v>
      </c>
    </row>
    <row r="144" spans="2:5" x14ac:dyDescent="0.25">
      <c r="B144" s="6" t="s">
        <v>408</v>
      </c>
      <c r="C144">
        <v>25</v>
      </c>
      <c r="D144">
        <v>22</v>
      </c>
      <c r="E144" s="3">
        <v>1987.4327000000001</v>
      </c>
    </row>
    <row r="145" spans="2:5" x14ac:dyDescent="0.25">
      <c r="B145" s="6" t="s">
        <v>467</v>
      </c>
      <c r="C145">
        <v>60</v>
      </c>
      <c r="D145">
        <v>50</v>
      </c>
      <c r="E145" s="3">
        <v>1763.0807</v>
      </c>
    </row>
    <row r="146" spans="2:5" x14ac:dyDescent="0.25">
      <c r="B146" s="6" t="s">
        <v>473</v>
      </c>
      <c r="C146">
        <v>21</v>
      </c>
      <c r="D146">
        <v>16</v>
      </c>
      <c r="E146" s="3">
        <v>1732.6297</v>
      </c>
    </row>
    <row r="147" spans="2:5" x14ac:dyDescent="0.25">
      <c r="B147" s="6" t="s">
        <v>487</v>
      </c>
      <c r="C147">
        <v>9</v>
      </c>
      <c r="D147">
        <v>7</v>
      </c>
      <c r="E147" s="3">
        <v>1692.6045999999999</v>
      </c>
    </row>
    <row r="148" spans="2:5" x14ac:dyDescent="0.25">
      <c r="B148" s="6" t="s">
        <v>497</v>
      </c>
      <c r="C148">
        <v>25</v>
      </c>
      <c r="D148">
        <v>23</v>
      </c>
      <c r="E148" s="3">
        <v>1666.4879000000001</v>
      </c>
    </row>
    <row r="149" spans="2:5" x14ac:dyDescent="0.25">
      <c r="B149" s="6" t="s">
        <v>498</v>
      </c>
      <c r="C149">
        <v>5</v>
      </c>
      <c r="D149">
        <v>2</v>
      </c>
      <c r="E149" s="3">
        <v>1661.7406000000001</v>
      </c>
    </row>
    <row r="150" spans="2:5" x14ac:dyDescent="0.25">
      <c r="B150" s="6" t="s">
        <v>504</v>
      </c>
      <c r="C150">
        <v>18</v>
      </c>
      <c r="D150">
        <v>15</v>
      </c>
      <c r="E150" s="3">
        <v>1650.6419000000001</v>
      </c>
    </row>
    <row r="151" spans="2:5" x14ac:dyDescent="0.25">
      <c r="B151" s="6" t="s">
        <v>565</v>
      </c>
      <c r="C151">
        <v>46</v>
      </c>
      <c r="D151">
        <v>44</v>
      </c>
      <c r="E151" s="3">
        <v>1488.4058</v>
      </c>
    </row>
    <row r="152" spans="2:5" x14ac:dyDescent="0.25">
      <c r="B152" s="6" t="s">
        <v>583</v>
      </c>
      <c r="C152">
        <v>15</v>
      </c>
      <c r="D152">
        <v>11</v>
      </c>
      <c r="E152" s="3">
        <v>1458.0881999999999</v>
      </c>
    </row>
    <row r="153" spans="2:5" x14ac:dyDescent="0.25">
      <c r="B153" s="6" t="s">
        <v>591</v>
      </c>
      <c r="C153">
        <v>10</v>
      </c>
      <c r="D153">
        <v>8</v>
      </c>
      <c r="E153" s="3">
        <v>1444.5616</v>
      </c>
    </row>
    <row r="154" spans="2:5" x14ac:dyDescent="0.25">
      <c r="B154" s="6" t="s">
        <v>632</v>
      </c>
      <c r="C154">
        <v>21</v>
      </c>
      <c r="D154">
        <v>13</v>
      </c>
      <c r="E154" s="3">
        <v>1327.8114</v>
      </c>
    </row>
    <row r="155" spans="2:5" x14ac:dyDescent="0.25">
      <c r="B155" s="6" t="s">
        <v>636</v>
      </c>
      <c r="C155">
        <v>18</v>
      </c>
      <c r="D155">
        <v>14</v>
      </c>
      <c r="E155" s="3">
        <v>1316.5717999999999</v>
      </c>
    </row>
    <row r="156" spans="2:5" x14ac:dyDescent="0.25">
      <c r="B156" s="6" t="s">
        <v>655</v>
      </c>
      <c r="C156">
        <v>17</v>
      </c>
      <c r="D156">
        <v>14</v>
      </c>
      <c r="E156" s="3">
        <v>1255.0319</v>
      </c>
    </row>
    <row r="157" spans="2:5" x14ac:dyDescent="0.25">
      <c r="B157" s="6" t="s">
        <v>675</v>
      </c>
      <c r="C157">
        <v>90</v>
      </c>
      <c r="D157">
        <v>82</v>
      </c>
      <c r="E157" s="3">
        <v>1225.5509</v>
      </c>
    </row>
    <row r="158" spans="2:5" x14ac:dyDescent="0.25">
      <c r="B158" s="6" t="s">
        <v>689</v>
      </c>
      <c r="C158">
        <v>90</v>
      </c>
      <c r="D158">
        <v>71</v>
      </c>
      <c r="E158" s="3">
        <v>1192.4063000000001</v>
      </c>
    </row>
    <row r="159" spans="2:5" x14ac:dyDescent="0.25">
      <c r="B159" s="6" t="s">
        <v>707</v>
      </c>
      <c r="C159">
        <v>25</v>
      </c>
      <c r="D159">
        <v>21</v>
      </c>
      <c r="E159" s="3">
        <v>1146.9909</v>
      </c>
    </row>
    <row r="160" spans="2:5" x14ac:dyDescent="0.25">
      <c r="B160" s="6" t="s">
        <v>791</v>
      </c>
      <c r="C160">
        <v>77</v>
      </c>
      <c r="D160">
        <v>30</v>
      </c>
      <c r="E160" s="3">
        <v>996.02279999999996</v>
      </c>
    </row>
    <row r="161" spans="2:5" x14ac:dyDescent="0.25">
      <c r="B161" s="6" t="s">
        <v>882</v>
      </c>
      <c r="C161">
        <v>9</v>
      </c>
      <c r="D161">
        <v>8</v>
      </c>
      <c r="E161" s="3">
        <v>852.85599999999999</v>
      </c>
    </row>
    <row r="162" spans="2:5" x14ac:dyDescent="0.25">
      <c r="B162" s="6" t="s">
        <v>887</v>
      </c>
      <c r="C162">
        <v>15</v>
      </c>
      <c r="D162">
        <v>11</v>
      </c>
      <c r="E162" s="3">
        <v>845.46169999999995</v>
      </c>
    </row>
    <row r="163" spans="2:5" x14ac:dyDescent="0.25">
      <c r="B163" s="6" t="s">
        <v>904</v>
      </c>
      <c r="C163">
        <v>30</v>
      </c>
      <c r="D163">
        <v>26</v>
      </c>
      <c r="E163" s="3">
        <v>828.26499999999999</v>
      </c>
    </row>
    <row r="164" spans="2:5" x14ac:dyDescent="0.25">
      <c r="B164" s="6" t="s">
        <v>906</v>
      </c>
      <c r="C164">
        <v>36</v>
      </c>
      <c r="D164">
        <v>31</v>
      </c>
      <c r="E164" s="3">
        <v>827.66499999999996</v>
      </c>
    </row>
    <row r="165" spans="2:5" x14ac:dyDescent="0.25">
      <c r="B165" s="6" t="s">
        <v>915</v>
      </c>
      <c r="C165">
        <v>25</v>
      </c>
      <c r="D165">
        <v>20</v>
      </c>
      <c r="E165" s="3">
        <v>816.74850000000004</v>
      </c>
    </row>
    <row r="166" spans="2:5" x14ac:dyDescent="0.25">
      <c r="B166" s="6" t="s">
        <v>928</v>
      </c>
      <c r="C166">
        <v>23</v>
      </c>
      <c r="D166">
        <v>15</v>
      </c>
      <c r="E166" s="3">
        <v>810.5992</v>
      </c>
    </row>
    <row r="167" spans="2:5" x14ac:dyDescent="0.25">
      <c r="B167" s="6" t="s">
        <v>941</v>
      </c>
      <c r="C167">
        <v>9</v>
      </c>
      <c r="D167">
        <v>7</v>
      </c>
      <c r="E167" s="3">
        <v>801.44830000000002</v>
      </c>
    </row>
    <row r="168" spans="2:5" x14ac:dyDescent="0.25">
      <c r="B168" s="6" t="s">
        <v>957</v>
      </c>
      <c r="C168">
        <v>11</v>
      </c>
      <c r="D168">
        <v>7</v>
      </c>
      <c r="E168" s="3">
        <v>784.26469999999995</v>
      </c>
    </row>
    <row r="169" spans="2:5" x14ac:dyDescent="0.25">
      <c r="B169" s="6" t="s">
        <v>992</v>
      </c>
      <c r="C169">
        <v>4</v>
      </c>
      <c r="D169">
        <v>2</v>
      </c>
      <c r="E169" s="3">
        <v>754.35900000000004</v>
      </c>
    </row>
    <row r="170" spans="2:5" x14ac:dyDescent="0.25">
      <c r="B170" s="6" t="s">
        <v>1002</v>
      </c>
      <c r="C170">
        <v>39</v>
      </c>
      <c r="D170">
        <v>30</v>
      </c>
      <c r="E170" s="3">
        <v>743.58489999999995</v>
      </c>
    </row>
    <row r="171" spans="2:5" x14ac:dyDescent="0.25">
      <c r="B171" s="5" t="s">
        <v>261</v>
      </c>
      <c r="C171">
        <v>268</v>
      </c>
      <c r="D171">
        <v>217</v>
      </c>
      <c r="E171" s="3">
        <v>11959.7292</v>
      </c>
    </row>
    <row r="172" spans="2:5" x14ac:dyDescent="0.25">
      <c r="B172" s="6" t="s">
        <v>260</v>
      </c>
      <c r="C172">
        <v>30</v>
      </c>
      <c r="D172">
        <v>27</v>
      </c>
      <c r="E172" s="3">
        <v>2957.3530000000001</v>
      </c>
    </row>
    <row r="173" spans="2:5" x14ac:dyDescent="0.25">
      <c r="B173" s="6" t="s">
        <v>421</v>
      </c>
      <c r="C173">
        <v>8</v>
      </c>
      <c r="D173">
        <v>7</v>
      </c>
      <c r="E173" s="3">
        <v>1939.8376000000001</v>
      </c>
    </row>
    <row r="174" spans="2:5" x14ac:dyDescent="0.25">
      <c r="B174" s="6" t="s">
        <v>453</v>
      </c>
      <c r="C174">
        <v>79</v>
      </c>
      <c r="D174">
        <v>57</v>
      </c>
      <c r="E174" s="3">
        <v>1797.0416</v>
      </c>
    </row>
    <row r="175" spans="2:5" x14ac:dyDescent="0.25">
      <c r="B175" s="6" t="s">
        <v>533</v>
      </c>
      <c r="C175">
        <v>9</v>
      </c>
      <c r="D175">
        <v>7</v>
      </c>
      <c r="E175" s="3">
        <v>1554.4394</v>
      </c>
    </row>
    <row r="176" spans="2:5" x14ac:dyDescent="0.25">
      <c r="B176" s="6" t="s">
        <v>592</v>
      </c>
      <c r="C176">
        <v>15</v>
      </c>
      <c r="D176">
        <v>13</v>
      </c>
      <c r="E176" s="3">
        <v>1444.146</v>
      </c>
    </row>
    <row r="177" spans="2:5" x14ac:dyDescent="0.25">
      <c r="B177" s="6" t="s">
        <v>966</v>
      </c>
      <c r="C177">
        <v>90</v>
      </c>
      <c r="D177">
        <v>75</v>
      </c>
      <c r="E177" s="3">
        <v>773.74599999999998</v>
      </c>
    </row>
    <row r="178" spans="2:5" x14ac:dyDescent="0.25">
      <c r="B178" s="6" t="s">
        <v>991</v>
      </c>
      <c r="C178">
        <v>25</v>
      </c>
      <c r="D178">
        <v>22</v>
      </c>
      <c r="E178" s="3">
        <v>754.65539999999999</v>
      </c>
    </row>
    <row r="179" spans="2:5" x14ac:dyDescent="0.25">
      <c r="B179" s="6" t="s">
        <v>1006</v>
      </c>
      <c r="C179">
        <v>12</v>
      </c>
      <c r="D179">
        <v>9</v>
      </c>
      <c r="E179" s="3">
        <v>738.51020000000005</v>
      </c>
    </row>
    <row r="180" spans="2:5" x14ac:dyDescent="0.25">
      <c r="B180" s="5" t="s">
        <v>81</v>
      </c>
      <c r="C180">
        <v>306</v>
      </c>
      <c r="D180">
        <v>209</v>
      </c>
      <c r="E180" s="3">
        <v>17543.672300000002</v>
      </c>
    </row>
    <row r="181" spans="2:5" x14ac:dyDescent="0.25">
      <c r="B181" s="6" t="s">
        <v>183</v>
      </c>
      <c r="C181">
        <v>13</v>
      </c>
      <c r="D181">
        <v>6</v>
      </c>
      <c r="E181" s="3">
        <v>4281.4016000000001</v>
      </c>
    </row>
    <row r="182" spans="2:5" x14ac:dyDescent="0.25">
      <c r="B182" s="6" t="s">
        <v>339</v>
      </c>
      <c r="C182">
        <v>8</v>
      </c>
      <c r="D182">
        <v>6</v>
      </c>
      <c r="E182" s="3">
        <v>2358.2483000000002</v>
      </c>
    </row>
    <row r="183" spans="2:5" x14ac:dyDescent="0.25">
      <c r="B183" s="6" t="s">
        <v>365</v>
      </c>
      <c r="C183">
        <v>50</v>
      </c>
      <c r="D183">
        <v>40</v>
      </c>
      <c r="E183" s="3">
        <v>2155.4069</v>
      </c>
    </row>
    <row r="184" spans="2:5" x14ac:dyDescent="0.25">
      <c r="B184" s="6" t="s">
        <v>388</v>
      </c>
      <c r="C184">
        <v>10</v>
      </c>
      <c r="D184">
        <v>8</v>
      </c>
      <c r="E184" s="3">
        <v>2047.1978999999999</v>
      </c>
    </row>
    <row r="185" spans="2:5" x14ac:dyDescent="0.25">
      <c r="B185" s="6" t="s">
        <v>444</v>
      </c>
      <c r="C185">
        <v>25</v>
      </c>
      <c r="D185">
        <v>18</v>
      </c>
      <c r="E185" s="3">
        <v>1838.3239000000001</v>
      </c>
    </row>
    <row r="186" spans="2:5" x14ac:dyDescent="0.25">
      <c r="B186" s="6" t="s">
        <v>623</v>
      </c>
      <c r="C186">
        <v>5</v>
      </c>
      <c r="D186">
        <v>3</v>
      </c>
      <c r="E186" s="3">
        <v>1358.9992999999999</v>
      </c>
    </row>
    <row r="187" spans="2:5" x14ac:dyDescent="0.25">
      <c r="B187" s="6" t="s">
        <v>842</v>
      </c>
      <c r="C187">
        <v>90</v>
      </c>
      <c r="D187">
        <v>56</v>
      </c>
      <c r="E187" s="3">
        <v>902.20129999999995</v>
      </c>
    </row>
    <row r="188" spans="2:5" x14ac:dyDescent="0.25">
      <c r="B188" s="6" t="s">
        <v>846</v>
      </c>
      <c r="C188">
        <v>78</v>
      </c>
      <c r="D188">
        <v>53</v>
      </c>
      <c r="E188" s="3">
        <v>896.67610000000002</v>
      </c>
    </row>
    <row r="189" spans="2:5" x14ac:dyDescent="0.25">
      <c r="B189" s="6" t="s">
        <v>847</v>
      </c>
      <c r="C189">
        <v>17</v>
      </c>
      <c r="D189">
        <v>12</v>
      </c>
      <c r="E189" s="3">
        <v>895.32730000000004</v>
      </c>
    </row>
    <row r="190" spans="2:5" x14ac:dyDescent="0.25">
      <c r="B190" s="6" t="s">
        <v>930</v>
      </c>
      <c r="C190">
        <v>10</v>
      </c>
      <c r="D190">
        <v>7</v>
      </c>
      <c r="E190" s="3">
        <v>809.88969999999995</v>
      </c>
    </row>
    <row r="191" spans="2:5" x14ac:dyDescent="0.25">
      <c r="B191" s="5" t="s">
        <v>426</v>
      </c>
      <c r="C191">
        <v>78</v>
      </c>
      <c r="D191">
        <v>63</v>
      </c>
      <c r="E191" s="3">
        <v>3434.7947000000004</v>
      </c>
    </row>
    <row r="192" spans="2:5" x14ac:dyDescent="0.25">
      <c r="B192" s="6" t="s">
        <v>425</v>
      </c>
      <c r="C192">
        <v>30</v>
      </c>
      <c r="D192">
        <v>24</v>
      </c>
      <c r="E192" s="3">
        <v>1924.2817</v>
      </c>
    </row>
    <row r="193" spans="2:5" x14ac:dyDescent="0.25">
      <c r="B193" s="6" t="s">
        <v>988</v>
      </c>
      <c r="C193">
        <v>14</v>
      </c>
      <c r="D193">
        <v>12</v>
      </c>
      <c r="E193" s="3">
        <v>756.4864</v>
      </c>
    </row>
    <row r="194" spans="2:5" x14ac:dyDescent="0.25">
      <c r="B194" s="6" t="s">
        <v>994</v>
      </c>
      <c r="C194">
        <v>34</v>
      </c>
      <c r="D194">
        <v>27</v>
      </c>
      <c r="E194" s="3">
        <v>754.02660000000003</v>
      </c>
    </row>
    <row r="195" spans="2:5" x14ac:dyDescent="0.25">
      <c r="B195" s="5" t="s">
        <v>146</v>
      </c>
      <c r="C195">
        <v>176</v>
      </c>
      <c r="D195">
        <v>127</v>
      </c>
      <c r="E195" s="3">
        <v>11524.1744</v>
      </c>
    </row>
    <row r="196" spans="2:5" x14ac:dyDescent="0.25">
      <c r="B196" s="6" t="s">
        <v>145</v>
      </c>
      <c r="C196">
        <v>60</v>
      </c>
      <c r="D196">
        <v>53</v>
      </c>
      <c r="E196" s="3">
        <v>5059.5724</v>
      </c>
    </row>
    <row r="197" spans="2:5" x14ac:dyDescent="0.25">
      <c r="B197" s="6" t="s">
        <v>189</v>
      </c>
      <c r="C197">
        <v>36</v>
      </c>
      <c r="D197">
        <v>34</v>
      </c>
      <c r="E197" s="3">
        <v>4233.6743999999999</v>
      </c>
    </row>
    <row r="198" spans="2:5" x14ac:dyDescent="0.25">
      <c r="B198" s="6" t="s">
        <v>360</v>
      </c>
      <c r="C198">
        <v>80</v>
      </c>
      <c r="D198">
        <v>40</v>
      </c>
      <c r="E198" s="3">
        <v>2230.9276</v>
      </c>
    </row>
    <row r="199" spans="2:5" x14ac:dyDescent="0.25">
      <c r="B199" s="5" t="s">
        <v>51</v>
      </c>
      <c r="C199">
        <v>780</v>
      </c>
      <c r="D199">
        <v>598</v>
      </c>
      <c r="E199" s="3">
        <v>38922.212700000004</v>
      </c>
    </row>
    <row r="200" spans="2:5" x14ac:dyDescent="0.25">
      <c r="B200" s="6" t="s">
        <v>49</v>
      </c>
      <c r="C200">
        <v>66</v>
      </c>
      <c r="D200">
        <v>56</v>
      </c>
      <c r="E200" s="3">
        <v>10561.7147</v>
      </c>
    </row>
    <row r="201" spans="2:5" x14ac:dyDescent="0.25">
      <c r="B201" s="6" t="s">
        <v>211</v>
      </c>
      <c r="C201">
        <v>19</v>
      </c>
      <c r="D201">
        <v>16</v>
      </c>
      <c r="E201" s="3">
        <v>3692.3510000000001</v>
      </c>
    </row>
    <row r="202" spans="2:5" x14ac:dyDescent="0.25">
      <c r="B202" s="6" t="s">
        <v>231</v>
      </c>
      <c r="C202">
        <v>54</v>
      </c>
      <c r="D202">
        <v>44</v>
      </c>
      <c r="E202" s="3">
        <v>3350.0091000000002</v>
      </c>
    </row>
    <row r="203" spans="2:5" x14ac:dyDescent="0.25">
      <c r="B203" s="6" t="s">
        <v>237</v>
      </c>
      <c r="C203">
        <v>50</v>
      </c>
      <c r="D203">
        <v>32</v>
      </c>
      <c r="E203" s="3">
        <v>3279.2231000000002</v>
      </c>
    </row>
    <row r="204" spans="2:5" x14ac:dyDescent="0.25">
      <c r="B204" s="6" t="s">
        <v>267</v>
      </c>
      <c r="C204">
        <v>66</v>
      </c>
      <c r="D204">
        <v>54</v>
      </c>
      <c r="E204" s="3">
        <v>2861.2368999999999</v>
      </c>
    </row>
    <row r="205" spans="2:5" x14ac:dyDescent="0.25">
      <c r="B205" s="6" t="s">
        <v>315</v>
      </c>
      <c r="C205">
        <v>55</v>
      </c>
      <c r="D205">
        <v>54</v>
      </c>
      <c r="E205" s="3">
        <v>2506.9261999999999</v>
      </c>
    </row>
    <row r="206" spans="2:5" x14ac:dyDescent="0.25">
      <c r="B206" s="6" t="s">
        <v>431</v>
      </c>
      <c r="C206">
        <v>75</v>
      </c>
      <c r="D206">
        <v>70</v>
      </c>
      <c r="E206" s="3">
        <v>1914.7356</v>
      </c>
    </row>
    <row r="207" spans="2:5" x14ac:dyDescent="0.25">
      <c r="B207" s="6" t="s">
        <v>484</v>
      </c>
      <c r="C207">
        <v>35</v>
      </c>
      <c r="D207">
        <v>25</v>
      </c>
      <c r="E207" s="3">
        <v>1699.3732</v>
      </c>
    </row>
    <row r="208" spans="2:5" x14ac:dyDescent="0.25">
      <c r="B208" s="6" t="s">
        <v>613</v>
      </c>
      <c r="C208">
        <v>54</v>
      </c>
      <c r="D208">
        <v>34</v>
      </c>
      <c r="E208" s="3">
        <v>1404.0037</v>
      </c>
    </row>
    <row r="209" spans="2:5" x14ac:dyDescent="0.25">
      <c r="B209" s="6" t="s">
        <v>644</v>
      </c>
      <c r="C209">
        <v>16</v>
      </c>
      <c r="D209">
        <v>14</v>
      </c>
      <c r="E209" s="3">
        <v>1282.6274000000001</v>
      </c>
    </row>
    <row r="210" spans="2:5" x14ac:dyDescent="0.25">
      <c r="B210" s="6" t="s">
        <v>711</v>
      </c>
      <c r="C210">
        <v>42</v>
      </c>
      <c r="D210">
        <v>36</v>
      </c>
      <c r="E210" s="3">
        <v>1141.8701000000001</v>
      </c>
    </row>
    <row r="211" spans="2:5" x14ac:dyDescent="0.25">
      <c r="B211" s="6" t="s">
        <v>807</v>
      </c>
      <c r="C211">
        <v>48</v>
      </c>
      <c r="D211">
        <v>42</v>
      </c>
      <c r="E211" s="3">
        <v>967.57129999999995</v>
      </c>
    </row>
    <row r="212" spans="2:5" x14ac:dyDescent="0.25">
      <c r="B212" s="6" t="s">
        <v>827</v>
      </c>
      <c r="C212">
        <v>13</v>
      </c>
      <c r="D212">
        <v>7</v>
      </c>
      <c r="E212" s="3">
        <v>922.49779999999998</v>
      </c>
    </row>
    <row r="213" spans="2:5" x14ac:dyDescent="0.25">
      <c r="B213" s="6" t="s">
        <v>843</v>
      </c>
      <c r="C213">
        <v>61</v>
      </c>
      <c r="D213">
        <v>42</v>
      </c>
      <c r="E213" s="3">
        <v>900.69560000000001</v>
      </c>
    </row>
    <row r="214" spans="2:5" x14ac:dyDescent="0.25">
      <c r="B214" s="6" t="s">
        <v>860</v>
      </c>
      <c r="C214">
        <v>70</v>
      </c>
      <c r="D214">
        <v>25</v>
      </c>
      <c r="E214" s="3">
        <v>869.74900000000002</v>
      </c>
    </row>
    <row r="215" spans="2:5" x14ac:dyDescent="0.25">
      <c r="B215" s="6" t="s">
        <v>939</v>
      </c>
      <c r="C215">
        <v>33</v>
      </c>
      <c r="D215">
        <v>29</v>
      </c>
      <c r="E215" s="3">
        <v>803.9375</v>
      </c>
    </row>
    <row r="216" spans="2:5" x14ac:dyDescent="0.25">
      <c r="B216" s="6" t="s">
        <v>979</v>
      </c>
      <c r="C216">
        <v>23</v>
      </c>
      <c r="D216">
        <v>18</v>
      </c>
      <c r="E216" s="3">
        <v>763.69050000000004</v>
      </c>
    </row>
    <row r="217" spans="2:5" x14ac:dyDescent="0.25">
      <c r="B217" s="5" t="s">
        <v>12</v>
      </c>
      <c r="C217">
        <v>222</v>
      </c>
      <c r="D217">
        <v>168</v>
      </c>
      <c r="E217" s="3">
        <v>34109.006600000001</v>
      </c>
    </row>
    <row r="218" spans="2:5" x14ac:dyDescent="0.25">
      <c r="B218" s="6" t="s">
        <v>45</v>
      </c>
      <c r="C218">
        <v>23</v>
      </c>
      <c r="D218">
        <v>20</v>
      </c>
      <c r="E218" s="3">
        <v>11622.5291</v>
      </c>
    </row>
    <row r="219" spans="2:5" x14ac:dyDescent="0.25">
      <c r="B219" s="6" t="s">
        <v>167</v>
      </c>
      <c r="C219">
        <v>8</v>
      </c>
      <c r="D219">
        <v>7</v>
      </c>
      <c r="E219" s="3">
        <v>4469.2112999999999</v>
      </c>
    </row>
    <row r="220" spans="2:5" x14ac:dyDescent="0.25">
      <c r="B220" s="6" t="s">
        <v>181</v>
      </c>
      <c r="C220">
        <v>7</v>
      </c>
      <c r="D220">
        <v>2</v>
      </c>
      <c r="E220" s="3">
        <v>4283.2753000000002</v>
      </c>
    </row>
    <row r="221" spans="2:5" x14ac:dyDescent="0.25">
      <c r="B221" s="6" t="s">
        <v>257</v>
      </c>
      <c r="C221">
        <v>5</v>
      </c>
      <c r="D221">
        <v>2</v>
      </c>
      <c r="E221" s="3">
        <v>3026.3532</v>
      </c>
    </row>
    <row r="222" spans="2:5" x14ac:dyDescent="0.25">
      <c r="B222" s="6" t="s">
        <v>377</v>
      </c>
      <c r="C222">
        <v>15</v>
      </c>
      <c r="D222">
        <v>14</v>
      </c>
      <c r="E222" s="3">
        <v>2100.9602</v>
      </c>
    </row>
    <row r="223" spans="2:5" x14ac:dyDescent="0.25">
      <c r="B223" s="6" t="s">
        <v>380</v>
      </c>
      <c r="C223">
        <v>28</v>
      </c>
      <c r="D223">
        <v>26</v>
      </c>
      <c r="E223" s="3">
        <v>2095.6151</v>
      </c>
    </row>
    <row r="224" spans="2:5" x14ac:dyDescent="0.25">
      <c r="B224" s="6" t="s">
        <v>443</v>
      </c>
      <c r="C224">
        <v>15</v>
      </c>
      <c r="D224">
        <v>12</v>
      </c>
      <c r="E224" s="3">
        <v>1843.5572</v>
      </c>
    </row>
    <row r="225" spans="2:5" x14ac:dyDescent="0.25">
      <c r="B225" s="6" t="s">
        <v>770</v>
      </c>
      <c r="C225">
        <v>49</v>
      </c>
      <c r="D225">
        <v>40</v>
      </c>
      <c r="E225" s="3">
        <v>1031.4816000000001</v>
      </c>
    </row>
    <row r="226" spans="2:5" x14ac:dyDescent="0.25">
      <c r="B226" s="6" t="s">
        <v>777</v>
      </c>
      <c r="C226">
        <v>18</v>
      </c>
      <c r="D226">
        <v>10</v>
      </c>
      <c r="E226" s="3">
        <v>1018.1919</v>
      </c>
    </row>
    <row r="227" spans="2:5" x14ac:dyDescent="0.25">
      <c r="B227" s="6" t="s">
        <v>838</v>
      </c>
      <c r="C227">
        <v>8</v>
      </c>
      <c r="D227">
        <v>3</v>
      </c>
      <c r="E227" s="3">
        <v>904.37109999999996</v>
      </c>
    </row>
    <row r="228" spans="2:5" x14ac:dyDescent="0.25">
      <c r="B228" s="6" t="s">
        <v>851</v>
      </c>
      <c r="C228">
        <v>36</v>
      </c>
      <c r="D228">
        <v>24</v>
      </c>
      <c r="E228" s="3">
        <v>893.62699999999995</v>
      </c>
    </row>
    <row r="229" spans="2:5" x14ac:dyDescent="0.25">
      <c r="B229" s="6" t="s">
        <v>911</v>
      </c>
      <c r="C229">
        <v>10</v>
      </c>
      <c r="D229">
        <v>8</v>
      </c>
      <c r="E229" s="3">
        <v>819.83360000000005</v>
      </c>
    </row>
    <row r="230" spans="2:5" x14ac:dyDescent="0.25">
      <c r="B230" s="5" t="s">
        <v>84</v>
      </c>
      <c r="C230">
        <v>1137</v>
      </c>
      <c r="D230">
        <v>868</v>
      </c>
      <c r="E230" s="3">
        <v>45056.465300000003</v>
      </c>
    </row>
    <row r="231" spans="2:5" x14ac:dyDescent="0.25">
      <c r="B231" s="6" t="s">
        <v>176</v>
      </c>
      <c r="C231">
        <v>64</v>
      </c>
      <c r="D231">
        <v>63</v>
      </c>
      <c r="E231" s="3">
        <v>4345.7790000000005</v>
      </c>
    </row>
    <row r="232" spans="2:5" x14ac:dyDescent="0.25">
      <c r="B232" s="6" t="s">
        <v>195</v>
      </c>
      <c r="C232">
        <v>14</v>
      </c>
      <c r="D232">
        <v>13</v>
      </c>
      <c r="E232" s="3">
        <v>4090.7424000000001</v>
      </c>
    </row>
    <row r="233" spans="2:5" x14ac:dyDescent="0.25">
      <c r="B233" s="6" t="s">
        <v>221</v>
      </c>
      <c r="C233">
        <v>35</v>
      </c>
      <c r="D233">
        <v>30</v>
      </c>
      <c r="E233" s="3">
        <v>3469.3888999999999</v>
      </c>
    </row>
    <row r="234" spans="2:5" x14ac:dyDescent="0.25">
      <c r="B234" s="6" t="s">
        <v>252</v>
      </c>
      <c r="C234">
        <v>52</v>
      </c>
      <c r="D234">
        <v>40</v>
      </c>
      <c r="E234" s="3">
        <v>3051.3321999999998</v>
      </c>
    </row>
    <row r="235" spans="2:5" x14ac:dyDescent="0.25">
      <c r="B235" s="6" t="s">
        <v>300</v>
      </c>
      <c r="C235">
        <v>12</v>
      </c>
      <c r="D235">
        <v>9</v>
      </c>
      <c r="E235" s="3">
        <v>2618.0194999999999</v>
      </c>
    </row>
    <row r="236" spans="2:5" x14ac:dyDescent="0.25">
      <c r="B236" s="6" t="s">
        <v>308</v>
      </c>
      <c r="C236">
        <v>57</v>
      </c>
      <c r="D236">
        <v>56</v>
      </c>
      <c r="E236" s="3">
        <v>2555.6570000000002</v>
      </c>
    </row>
    <row r="237" spans="2:5" x14ac:dyDescent="0.25">
      <c r="B237" s="6" t="s">
        <v>330</v>
      </c>
      <c r="C237">
        <v>42</v>
      </c>
      <c r="D237">
        <v>37</v>
      </c>
      <c r="E237" s="3">
        <v>2415.7359000000001</v>
      </c>
    </row>
    <row r="238" spans="2:5" x14ac:dyDescent="0.25">
      <c r="B238" s="6" t="s">
        <v>384</v>
      </c>
      <c r="C238">
        <v>10</v>
      </c>
      <c r="D238">
        <v>8</v>
      </c>
      <c r="E238" s="3">
        <v>2076.8838999999998</v>
      </c>
    </row>
    <row r="239" spans="2:5" x14ac:dyDescent="0.25">
      <c r="B239" s="6" t="s">
        <v>392</v>
      </c>
      <c r="C239">
        <v>60</v>
      </c>
      <c r="D239">
        <v>50</v>
      </c>
      <c r="E239" s="3">
        <v>2037.0893000000001</v>
      </c>
    </row>
    <row r="240" spans="2:5" x14ac:dyDescent="0.25">
      <c r="B240" s="6" t="s">
        <v>446</v>
      </c>
      <c r="C240">
        <v>15</v>
      </c>
      <c r="D240">
        <v>12</v>
      </c>
      <c r="E240" s="3">
        <v>1820.7809999999999</v>
      </c>
    </row>
    <row r="241" spans="2:5" x14ac:dyDescent="0.25">
      <c r="B241" s="6" t="s">
        <v>530</v>
      </c>
      <c r="C241">
        <v>22</v>
      </c>
      <c r="D241">
        <v>19</v>
      </c>
      <c r="E241" s="3">
        <v>1569.6044999999999</v>
      </c>
    </row>
    <row r="242" spans="2:5" x14ac:dyDescent="0.25">
      <c r="B242" s="6" t="s">
        <v>619</v>
      </c>
      <c r="C242">
        <v>41</v>
      </c>
      <c r="D242">
        <v>34</v>
      </c>
      <c r="E242" s="3">
        <v>1385.4507000000001</v>
      </c>
    </row>
    <row r="243" spans="2:5" x14ac:dyDescent="0.25">
      <c r="B243" s="6" t="s">
        <v>713</v>
      </c>
      <c r="C243">
        <v>52</v>
      </c>
      <c r="D243">
        <v>44</v>
      </c>
      <c r="E243" s="3">
        <v>1137.2337</v>
      </c>
    </row>
    <row r="244" spans="2:5" x14ac:dyDescent="0.25">
      <c r="B244" s="6" t="s">
        <v>784</v>
      </c>
      <c r="C244">
        <v>70</v>
      </c>
      <c r="D244">
        <v>64</v>
      </c>
      <c r="E244" s="3">
        <v>1002.4813</v>
      </c>
    </row>
    <row r="245" spans="2:5" x14ac:dyDescent="0.25">
      <c r="B245" s="6" t="s">
        <v>804</v>
      </c>
      <c r="C245">
        <v>15</v>
      </c>
      <c r="D245">
        <v>4</v>
      </c>
      <c r="E245" s="3">
        <v>976.76110000000006</v>
      </c>
    </row>
    <row r="246" spans="2:5" x14ac:dyDescent="0.25">
      <c r="B246" s="6" t="s">
        <v>837</v>
      </c>
      <c r="C246">
        <v>20</v>
      </c>
      <c r="D246">
        <v>18</v>
      </c>
      <c r="E246" s="3">
        <v>904.62059999999997</v>
      </c>
    </row>
    <row r="247" spans="2:5" x14ac:dyDescent="0.25">
      <c r="B247" s="6" t="s">
        <v>884</v>
      </c>
      <c r="C247">
        <v>68</v>
      </c>
      <c r="D247">
        <v>53</v>
      </c>
      <c r="E247" s="3">
        <v>850.24220000000003</v>
      </c>
    </row>
    <row r="248" spans="2:5" x14ac:dyDescent="0.25">
      <c r="B248" s="6" t="s">
        <v>889</v>
      </c>
      <c r="C248">
        <v>91</v>
      </c>
      <c r="D248">
        <v>86</v>
      </c>
      <c r="E248" s="3">
        <v>844.43320000000006</v>
      </c>
    </row>
    <row r="249" spans="2:5" x14ac:dyDescent="0.25">
      <c r="B249" s="6" t="s">
        <v>897</v>
      </c>
      <c r="C249">
        <v>51</v>
      </c>
      <c r="D249">
        <v>43</v>
      </c>
      <c r="E249" s="3">
        <v>836.24120000000005</v>
      </c>
    </row>
    <row r="250" spans="2:5" x14ac:dyDescent="0.25">
      <c r="B250" s="6" t="s">
        <v>901</v>
      </c>
      <c r="C250">
        <v>37</v>
      </c>
      <c r="D250">
        <v>-43</v>
      </c>
      <c r="E250" s="3">
        <v>831.31809999999996</v>
      </c>
    </row>
    <row r="251" spans="2:5" x14ac:dyDescent="0.25">
      <c r="B251" s="6" t="s">
        <v>924</v>
      </c>
      <c r="C251">
        <v>13</v>
      </c>
      <c r="D251">
        <v>8</v>
      </c>
      <c r="E251" s="3">
        <v>813.06470000000002</v>
      </c>
    </row>
    <row r="252" spans="2:5" x14ac:dyDescent="0.25">
      <c r="B252" s="6" t="s">
        <v>934</v>
      </c>
      <c r="C252">
        <v>43</v>
      </c>
      <c r="D252">
        <v>35</v>
      </c>
      <c r="E252" s="3">
        <v>809.24149999999997</v>
      </c>
    </row>
    <row r="253" spans="2:5" x14ac:dyDescent="0.25">
      <c r="B253" s="6" t="s">
        <v>944</v>
      </c>
      <c r="C253">
        <v>18</v>
      </c>
      <c r="D253">
        <v>13</v>
      </c>
      <c r="E253" s="3">
        <v>800.38570000000004</v>
      </c>
    </row>
    <row r="254" spans="2:5" x14ac:dyDescent="0.25">
      <c r="B254" s="6" t="s">
        <v>959</v>
      </c>
      <c r="C254">
        <v>38</v>
      </c>
      <c r="D254">
        <v>29</v>
      </c>
      <c r="E254" s="3">
        <v>783.74760000000003</v>
      </c>
    </row>
    <row r="255" spans="2:5" x14ac:dyDescent="0.25">
      <c r="B255" s="6" t="s">
        <v>972</v>
      </c>
      <c r="C255">
        <v>67</v>
      </c>
      <c r="D255">
        <v>44</v>
      </c>
      <c r="E255" s="3">
        <v>768.67740000000003</v>
      </c>
    </row>
    <row r="256" spans="2:5" x14ac:dyDescent="0.25">
      <c r="B256" s="6" t="s">
        <v>973</v>
      </c>
      <c r="C256">
        <v>65</v>
      </c>
      <c r="D256">
        <v>55</v>
      </c>
      <c r="E256" s="3">
        <v>767.88710000000003</v>
      </c>
    </row>
    <row r="257" spans="2:5" x14ac:dyDescent="0.25">
      <c r="B257" s="6" t="s">
        <v>996</v>
      </c>
      <c r="C257">
        <v>35</v>
      </c>
      <c r="D257">
        <v>19</v>
      </c>
      <c r="E257" s="3">
        <v>750.88130000000001</v>
      </c>
    </row>
    <row r="258" spans="2:5" x14ac:dyDescent="0.25">
      <c r="B258" s="6" t="s">
        <v>1003</v>
      </c>
      <c r="C258">
        <v>30</v>
      </c>
      <c r="D258">
        <v>25</v>
      </c>
      <c r="E258" s="3">
        <v>742.78430000000003</v>
      </c>
    </row>
    <row r="259" spans="2:5" x14ac:dyDescent="0.25">
      <c r="B259" s="5" t="s">
        <v>24</v>
      </c>
      <c r="C259">
        <v>1140</v>
      </c>
      <c r="D259">
        <v>894</v>
      </c>
      <c r="E259" s="3">
        <v>87198.206999999995</v>
      </c>
    </row>
    <row r="260" spans="2:5" x14ac:dyDescent="0.25">
      <c r="B260" s="6" t="s">
        <v>34</v>
      </c>
      <c r="C260">
        <v>60</v>
      </c>
      <c r="D260">
        <v>50</v>
      </c>
      <c r="E260" s="3">
        <v>12564.536400000001</v>
      </c>
    </row>
    <row r="261" spans="2:5" x14ac:dyDescent="0.25">
      <c r="B261" s="6" t="s">
        <v>65</v>
      </c>
      <c r="C261">
        <v>45</v>
      </c>
      <c r="D261">
        <v>44</v>
      </c>
      <c r="E261" s="3">
        <v>8327.0956000000006</v>
      </c>
    </row>
    <row r="262" spans="2:5" x14ac:dyDescent="0.25">
      <c r="B262" s="6" t="s">
        <v>91</v>
      </c>
      <c r="C262">
        <v>37</v>
      </c>
      <c r="D262">
        <v>31</v>
      </c>
      <c r="E262" s="3">
        <v>6900.2519000000002</v>
      </c>
    </row>
    <row r="263" spans="2:5" x14ac:dyDescent="0.25">
      <c r="B263" s="6" t="s">
        <v>136</v>
      </c>
      <c r="C263">
        <v>22</v>
      </c>
      <c r="D263">
        <v>16</v>
      </c>
      <c r="E263" s="3">
        <v>5634.3140999999996</v>
      </c>
    </row>
    <row r="264" spans="2:5" x14ac:dyDescent="0.25">
      <c r="B264" s="6" t="s">
        <v>190</v>
      </c>
      <c r="C264">
        <v>35</v>
      </c>
      <c r="D264">
        <v>33</v>
      </c>
      <c r="E264" s="3">
        <v>4207.8615</v>
      </c>
    </row>
    <row r="265" spans="2:5" x14ac:dyDescent="0.25">
      <c r="B265" s="6" t="s">
        <v>199</v>
      </c>
      <c r="C265">
        <v>38</v>
      </c>
      <c r="D265">
        <v>30</v>
      </c>
      <c r="E265" s="3">
        <v>4035.1824999999999</v>
      </c>
    </row>
    <row r="266" spans="2:5" x14ac:dyDescent="0.25">
      <c r="B266" s="6" t="s">
        <v>222</v>
      </c>
      <c r="C266">
        <v>19</v>
      </c>
      <c r="D266">
        <v>18</v>
      </c>
      <c r="E266" s="3">
        <v>3417.6307999999999</v>
      </c>
    </row>
    <row r="267" spans="2:5" x14ac:dyDescent="0.25">
      <c r="B267" s="6" t="s">
        <v>230</v>
      </c>
      <c r="C267">
        <v>16</v>
      </c>
      <c r="D267">
        <v>8</v>
      </c>
      <c r="E267" s="3">
        <v>3357.7037999999998</v>
      </c>
    </row>
    <row r="268" spans="2:5" x14ac:dyDescent="0.25">
      <c r="B268" s="6" t="s">
        <v>256</v>
      </c>
      <c r="C268">
        <v>15</v>
      </c>
      <c r="D268">
        <v>13</v>
      </c>
      <c r="E268" s="3">
        <v>3031.4203000000002</v>
      </c>
    </row>
    <row r="269" spans="2:5" x14ac:dyDescent="0.25">
      <c r="B269" s="6" t="s">
        <v>277</v>
      </c>
      <c r="C269">
        <v>8</v>
      </c>
      <c r="D269">
        <v>7</v>
      </c>
      <c r="E269" s="3">
        <v>2742.6432</v>
      </c>
    </row>
    <row r="270" spans="2:5" x14ac:dyDescent="0.25">
      <c r="B270" s="6" t="s">
        <v>293</v>
      </c>
      <c r="C270">
        <v>6</v>
      </c>
      <c r="D270">
        <v>4</v>
      </c>
      <c r="E270" s="3">
        <v>2657.4126999999999</v>
      </c>
    </row>
    <row r="271" spans="2:5" x14ac:dyDescent="0.25">
      <c r="B271" s="6" t="s">
        <v>345</v>
      </c>
      <c r="C271">
        <v>40</v>
      </c>
      <c r="D271">
        <v>32</v>
      </c>
      <c r="E271" s="3">
        <v>2313.8368999999998</v>
      </c>
    </row>
    <row r="272" spans="2:5" x14ac:dyDescent="0.25">
      <c r="B272" s="6" t="s">
        <v>372</v>
      </c>
      <c r="C272">
        <v>64</v>
      </c>
      <c r="D272">
        <v>52</v>
      </c>
      <c r="E272" s="3">
        <v>2116.4110000000001</v>
      </c>
    </row>
    <row r="273" spans="2:5" x14ac:dyDescent="0.25">
      <c r="B273" s="6" t="s">
        <v>448</v>
      </c>
      <c r="C273">
        <v>4</v>
      </c>
      <c r="D273">
        <v>2</v>
      </c>
      <c r="E273" s="3">
        <v>1813.5417</v>
      </c>
    </row>
    <row r="274" spans="2:5" x14ac:dyDescent="0.25">
      <c r="B274" s="6" t="s">
        <v>452</v>
      </c>
      <c r="C274">
        <v>33</v>
      </c>
      <c r="D274">
        <v>30</v>
      </c>
      <c r="E274" s="3">
        <v>1797.1431</v>
      </c>
    </row>
    <row r="275" spans="2:5" x14ac:dyDescent="0.25">
      <c r="B275" s="6" t="s">
        <v>460</v>
      </c>
      <c r="C275">
        <v>19</v>
      </c>
      <c r="D275">
        <v>9</v>
      </c>
      <c r="E275" s="3">
        <v>1786.4145000000001</v>
      </c>
    </row>
    <row r="276" spans="2:5" x14ac:dyDescent="0.25">
      <c r="B276" s="6" t="s">
        <v>470</v>
      </c>
      <c r="C276">
        <v>12</v>
      </c>
      <c r="D276">
        <v>10</v>
      </c>
      <c r="E276" s="3">
        <v>1738.1728000000001</v>
      </c>
    </row>
    <row r="277" spans="2:5" x14ac:dyDescent="0.25">
      <c r="B277" s="6" t="s">
        <v>500</v>
      </c>
      <c r="C277">
        <v>31</v>
      </c>
      <c r="D277">
        <v>19</v>
      </c>
      <c r="E277" s="3">
        <v>1653.9969000000001</v>
      </c>
    </row>
    <row r="278" spans="2:5" x14ac:dyDescent="0.25">
      <c r="B278" s="6" t="s">
        <v>531</v>
      </c>
      <c r="C278">
        <v>45</v>
      </c>
      <c r="D278">
        <v>40</v>
      </c>
      <c r="E278" s="3">
        <v>1567.7859000000001</v>
      </c>
    </row>
    <row r="279" spans="2:5" x14ac:dyDescent="0.25">
      <c r="B279" s="6" t="s">
        <v>546</v>
      </c>
      <c r="C279">
        <v>60</v>
      </c>
      <c r="D279">
        <v>48</v>
      </c>
      <c r="E279" s="3">
        <v>1522.1528000000001</v>
      </c>
    </row>
    <row r="280" spans="2:5" x14ac:dyDescent="0.25">
      <c r="B280" s="6" t="s">
        <v>571</v>
      </c>
      <c r="C280">
        <v>60</v>
      </c>
      <c r="D280">
        <v>30</v>
      </c>
      <c r="E280" s="3">
        <v>1472.3901000000001</v>
      </c>
    </row>
    <row r="281" spans="2:5" x14ac:dyDescent="0.25">
      <c r="B281" s="6" t="s">
        <v>589</v>
      </c>
      <c r="C281">
        <v>20</v>
      </c>
      <c r="D281">
        <v>15</v>
      </c>
      <c r="E281" s="3">
        <v>1447.5148999999999</v>
      </c>
    </row>
    <row r="282" spans="2:5" x14ac:dyDescent="0.25">
      <c r="B282" s="6" t="s">
        <v>670</v>
      </c>
      <c r="C282">
        <v>10</v>
      </c>
      <c r="D282">
        <v>7</v>
      </c>
      <c r="E282" s="3">
        <v>1231.4356</v>
      </c>
    </row>
    <row r="283" spans="2:5" x14ac:dyDescent="0.25">
      <c r="B283" s="6" t="s">
        <v>674</v>
      </c>
      <c r="C283">
        <v>24</v>
      </c>
      <c r="D283">
        <v>12</v>
      </c>
      <c r="E283" s="3">
        <v>1226.2361000000001</v>
      </c>
    </row>
    <row r="284" spans="2:5" x14ac:dyDescent="0.25">
      <c r="B284" s="6" t="s">
        <v>683</v>
      </c>
      <c r="C284">
        <v>84</v>
      </c>
      <c r="D284">
        <v>70</v>
      </c>
      <c r="E284" s="3">
        <v>1203.7642000000001</v>
      </c>
    </row>
    <row r="285" spans="2:5" x14ac:dyDescent="0.25">
      <c r="B285" s="6" t="s">
        <v>706</v>
      </c>
      <c r="C285">
        <v>3</v>
      </c>
      <c r="D285">
        <v>1</v>
      </c>
      <c r="E285" s="3">
        <v>1147.2141999999999</v>
      </c>
    </row>
    <row r="286" spans="2:5" x14ac:dyDescent="0.25">
      <c r="B286" s="6" t="s">
        <v>723</v>
      </c>
      <c r="C286">
        <v>55</v>
      </c>
      <c r="D286">
        <v>50</v>
      </c>
      <c r="E286" s="3">
        <v>1111.7853</v>
      </c>
    </row>
    <row r="287" spans="2:5" x14ac:dyDescent="0.25">
      <c r="B287" s="6" t="s">
        <v>815</v>
      </c>
      <c r="C287">
        <v>50</v>
      </c>
      <c r="D287">
        <v>34</v>
      </c>
      <c r="E287" s="3">
        <v>956.40930000000003</v>
      </c>
    </row>
    <row r="288" spans="2:5" x14ac:dyDescent="0.25">
      <c r="B288" s="6" t="s">
        <v>853</v>
      </c>
      <c r="C288">
        <v>37</v>
      </c>
      <c r="D288">
        <v>35</v>
      </c>
      <c r="E288" s="3">
        <v>889.64340000000004</v>
      </c>
    </row>
    <row r="289" spans="2:5" x14ac:dyDescent="0.25">
      <c r="B289" s="6" t="s">
        <v>863</v>
      </c>
      <c r="C289">
        <v>40</v>
      </c>
      <c r="D289">
        <v>37</v>
      </c>
      <c r="E289" s="3">
        <v>868.2749</v>
      </c>
    </row>
    <row r="290" spans="2:5" x14ac:dyDescent="0.25">
      <c r="B290" s="6" t="s">
        <v>879</v>
      </c>
      <c r="C290">
        <v>80</v>
      </c>
      <c r="D290">
        <v>55</v>
      </c>
      <c r="E290" s="3">
        <v>854.55550000000005</v>
      </c>
    </row>
    <row r="291" spans="2:5" x14ac:dyDescent="0.25">
      <c r="B291" s="6" t="s">
        <v>899</v>
      </c>
      <c r="C291">
        <v>27</v>
      </c>
      <c r="D291">
        <v>21</v>
      </c>
      <c r="E291" s="3">
        <v>833.85770000000002</v>
      </c>
    </row>
    <row r="292" spans="2:5" x14ac:dyDescent="0.25">
      <c r="B292" s="6" t="s">
        <v>970</v>
      </c>
      <c r="C292">
        <v>41</v>
      </c>
      <c r="D292">
        <v>31</v>
      </c>
      <c r="E292" s="3">
        <v>769.61739999999998</v>
      </c>
    </row>
    <row r="293" spans="2:5" x14ac:dyDescent="0.25">
      <c r="B293" s="5" t="s">
        <v>139</v>
      </c>
      <c r="C293">
        <v>161</v>
      </c>
      <c r="D293">
        <v>119</v>
      </c>
      <c r="E293" s="3">
        <v>12265.5013</v>
      </c>
    </row>
    <row r="294" spans="2:5" x14ac:dyDescent="0.25">
      <c r="B294" s="6" t="s">
        <v>218</v>
      </c>
      <c r="C294">
        <v>49</v>
      </c>
      <c r="D294">
        <v>45</v>
      </c>
      <c r="E294" s="3">
        <v>3531.5913</v>
      </c>
    </row>
    <row r="295" spans="2:5" x14ac:dyDescent="0.25">
      <c r="B295" s="6" t="s">
        <v>432</v>
      </c>
      <c r="C295">
        <v>8</v>
      </c>
      <c r="D295">
        <v>5</v>
      </c>
      <c r="E295" s="3">
        <v>1905.462</v>
      </c>
    </row>
    <row r="296" spans="2:5" x14ac:dyDescent="0.25">
      <c r="B296" s="6" t="s">
        <v>472</v>
      </c>
      <c r="C296">
        <v>40</v>
      </c>
      <c r="D296">
        <v>30</v>
      </c>
      <c r="E296" s="3">
        <v>1733.9362000000001</v>
      </c>
    </row>
    <row r="297" spans="2:5" x14ac:dyDescent="0.25">
      <c r="B297" s="6" t="s">
        <v>491</v>
      </c>
      <c r="C297">
        <v>2</v>
      </c>
      <c r="D297">
        <v>1</v>
      </c>
      <c r="E297" s="3">
        <v>1681.6204</v>
      </c>
    </row>
    <row r="298" spans="2:5" x14ac:dyDescent="0.25">
      <c r="B298" s="6" t="s">
        <v>542</v>
      </c>
      <c r="C298">
        <v>11</v>
      </c>
      <c r="D298">
        <v>9</v>
      </c>
      <c r="E298" s="3">
        <v>1541.2816</v>
      </c>
    </row>
    <row r="299" spans="2:5" x14ac:dyDescent="0.25">
      <c r="B299" s="6" t="s">
        <v>721</v>
      </c>
      <c r="C299">
        <v>10</v>
      </c>
      <c r="D299">
        <v>8</v>
      </c>
      <c r="E299" s="3">
        <v>1113.4907000000001</v>
      </c>
    </row>
    <row r="300" spans="2:5" x14ac:dyDescent="0.25">
      <c r="B300" s="6" t="s">
        <v>986</v>
      </c>
      <c r="C300">
        <v>41</v>
      </c>
      <c r="D300">
        <v>21</v>
      </c>
      <c r="E300" s="3">
        <v>758.1191</v>
      </c>
    </row>
    <row r="301" spans="2:5" x14ac:dyDescent="0.25">
      <c r="B301" s="5" t="s">
        <v>148</v>
      </c>
      <c r="C301">
        <v>249</v>
      </c>
      <c r="D301">
        <v>165</v>
      </c>
      <c r="E301" s="3">
        <v>10654.0092</v>
      </c>
    </row>
    <row r="302" spans="2:5" x14ac:dyDescent="0.25">
      <c r="B302" s="6" t="s">
        <v>147</v>
      </c>
      <c r="C302">
        <v>87</v>
      </c>
      <c r="D302">
        <v>67</v>
      </c>
      <c r="E302" s="3">
        <v>4978.2687999999998</v>
      </c>
    </row>
    <row r="303" spans="2:5" x14ac:dyDescent="0.25">
      <c r="B303" s="6" t="s">
        <v>485</v>
      </c>
      <c r="C303">
        <v>25</v>
      </c>
      <c r="D303">
        <v>13</v>
      </c>
      <c r="E303" s="3">
        <v>1692.6066000000001</v>
      </c>
    </row>
    <row r="304" spans="2:5" x14ac:dyDescent="0.25">
      <c r="B304" s="6" t="s">
        <v>501</v>
      </c>
      <c r="C304">
        <v>29</v>
      </c>
      <c r="D304">
        <v>13</v>
      </c>
      <c r="E304" s="3">
        <v>1653.441</v>
      </c>
    </row>
    <row r="305" spans="2:5" x14ac:dyDescent="0.25">
      <c r="B305" s="6" t="s">
        <v>935</v>
      </c>
      <c r="C305">
        <v>28</v>
      </c>
      <c r="D305">
        <v>22</v>
      </c>
      <c r="E305" s="3">
        <v>808.52480000000003</v>
      </c>
    </row>
    <row r="306" spans="2:5" x14ac:dyDescent="0.25">
      <c r="B306" s="6" t="s">
        <v>981</v>
      </c>
      <c r="C306">
        <v>10</v>
      </c>
      <c r="D306">
        <v>7</v>
      </c>
      <c r="E306" s="3">
        <v>762.61329999999998</v>
      </c>
    </row>
    <row r="307" spans="2:5" x14ac:dyDescent="0.25">
      <c r="B307" s="6" t="s">
        <v>984</v>
      </c>
      <c r="C307">
        <v>70</v>
      </c>
      <c r="D307">
        <v>43</v>
      </c>
      <c r="E307" s="3">
        <v>758.55470000000003</v>
      </c>
    </row>
    <row r="308" spans="2:5" x14ac:dyDescent="0.25">
      <c r="B308" s="5" t="s">
        <v>134</v>
      </c>
      <c r="C308">
        <v>620</v>
      </c>
      <c r="D308">
        <v>534</v>
      </c>
      <c r="E308" s="3">
        <v>23675.448900000003</v>
      </c>
    </row>
    <row r="309" spans="2:5" x14ac:dyDescent="0.25">
      <c r="B309" s="6" t="s">
        <v>132</v>
      </c>
      <c r="C309">
        <v>86</v>
      </c>
      <c r="D309">
        <v>83</v>
      </c>
      <c r="E309" s="3">
        <v>5638.0311000000002</v>
      </c>
    </row>
    <row r="310" spans="2:5" x14ac:dyDescent="0.25">
      <c r="B310" s="6" t="s">
        <v>368</v>
      </c>
      <c r="C310">
        <v>55</v>
      </c>
      <c r="D310">
        <v>35</v>
      </c>
      <c r="E310" s="3">
        <v>2138.2033999999999</v>
      </c>
    </row>
    <row r="311" spans="2:5" x14ac:dyDescent="0.25">
      <c r="B311" s="6" t="s">
        <v>459</v>
      </c>
      <c r="C311">
        <v>3</v>
      </c>
      <c r="D311">
        <v>2</v>
      </c>
      <c r="E311" s="3">
        <v>1789.8022000000001</v>
      </c>
    </row>
    <row r="312" spans="2:5" x14ac:dyDescent="0.25">
      <c r="B312" s="6" t="s">
        <v>555</v>
      </c>
      <c r="C312">
        <v>22</v>
      </c>
      <c r="D312">
        <v>19</v>
      </c>
      <c r="E312" s="3">
        <v>1514.6812</v>
      </c>
    </row>
    <row r="313" spans="2:5" x14ac:dyDescent="0.25">
      <c r="B313" s="6" t="s">
        <v>604</v>
      </c>
      <c r="C313">
        <v>24</v>
      </c>
      <c r="D313">
        <v>16</v>
      </c>
      <c r="E313" s="3">
        <v>1417.8894</v>
      </c>
    </row>
    <row r="314" spans="2:5" x14ac:dyDescent="0.25">
      <c r="B314" s="6" t="s">
        <v>665</v>
      </c>
      <c r="C314">
        <v>19</v>
      </c>
      <c r="D314">
        <v>16</v>
      </c>
      <c r="E314" s="3">
        <v>1240.5595000000001</v>
      </c>
    </row>
    <row r="315" spans="2:5" x14ac:dyDescent="0.25">
      <c r="B315" s="6" t="s">
        <v>667</v>
      </c>
      <c r="C315">
        <v>30</v>
      </c>
      <c r="D315">
        <v>27</v>
      </c>
      <c r="E315" s="3">
        <v>1237.9323999999999</v>
      </c>
    </row>
    <row r="316" spans="2:5" x14ac:dyDescent="0.25">
      <c r="B316" s="6" t="s">
        <v>690</v>
      </c>
      <c r="C316">
        <v>47</v>
      </c>
      <c r="D316">
        <v>41</v>
      </c>
      <c r="E316" s="3">
        <v>1191.9137000000001</v>
      </c>
    </row>
    <row r="317" spans="2:5" x14ac:dyDescent="0.25">
      <c r="B317" s="6" t="s">
        <v>724</v>
      </c>
      <c r="C317">
        <v>7</v>
      </c>
      <c r="D317">
        <v>1</v>
      </c>
      <c r="E317" s="3">
        <v>1110.7164</v>
      </c>
    </row>
    <row r="318" spans="2:5" x14ac:dyDescent="0.25">
      <c r="B318" s="6" t="s">
        <v>739</v>
      </c>
      <c r="C318">
        <v>25</v>
      </c>
      <c r="D318">
        <v>23</v>
      </c>
      <c r="E318" s="3">
        <v>1091.1066000000001</v>
      </c>
    </row>
    <row r="319" spans="2:5" x14ac:dyDescent="0.25">
      <c r="B319" s="6" t="s">
        <v>761</v>
      </c>
      <c r="C319">
        <v>50</v>
      </c>
      <c r="D319">
        <v>33</v>
      </c>
      <c r="E319" s="3">
        <v>1043.6166000000001</v>
      </c>
    </row>
    <row r="320" spans="2:5" x14ac:dyDescent="0.25">
      <c r="B320" s="6" t="s">
        <v>772</v>
      </c>
      <c r="C320">
        <v>94</v>
      </c>
      <c r="D320">
        <v>92</v>
      </c>
      <c r="E320" s="3">
        <v>1031.0775000000001</v>
      </c>
    </row>
    <row r="321" spans="2:5" x14ac:dyDescent="0.25">
      <c r="B321" s="6" t="s">
        <v>857</v>
      </c>
      <c r="C321">
        <v>28</v>
      </c>
      <c r="D321">
        <v>26</v>
      </c>
      <c r="E321" s="3">
        <v>870.54570000000001</v>
      </c>
    </row>
    <row r="322" spans="2:5" x14ac:dyDescent="0.25">
      <c r="B322" s="6" t="s">
        <v>920</v>
      </c>
      <c r="C322">
        <v>13</v>
      </c>
      <c r="D322">
        <v>10</v>
      </c>
      <c r="E322" s="3">
        <v>815.15150000000006</v>
      </c>
    </row>
    <row r="323" spans="2:5" x14ac:dyDescent="0.25">
      <c r="B323" s="6" t="s">
        <v>946</v>
      </c>
      <c r="C323">
        <v>72</v>
      </c>
      <c r="D323">
        <v>70</v>
      </c>
      <c r="E323" s="3">
        <v>797.33510000000001</v>
      </c>
    </row>
    <row r="324" spans="2:5" x14ac:dyDescent="0.25">
      <c r="B324" s="6" t="s">
        <v>1000</v>
      </c>
      <c r="C324">
        <v>45</v>
      </c>
      <c r="D324">
        <v>40</v>
      </c>
      <c r="E324" s="3">
        <v>746.88660000000004</v>
      </c>
    </row>
    <row r="325" spans="2:5" x14ac:dyDescent="0.25">
      <c r="B325" s="5" t="s">
        <v>119</v>
      </c>
      <c r="C325">
        <v>254</v>
      </c>
      <c r="D325">
        <v>218</v>
      </c>
      <c r="E325" s="3">
        <v>14352.7853</v>
      </c>
    </row>
    <row r="326" spans="2:5" x14ac:dyDescent="0.25">
      <c r="B326" s="6" t="s">
        <v>118</v>
      </c>
      <c r="C326">
        <v>71</v>
      </c>
      <c r="D326">
        <v>70</v>
      </c>
      <c r="E326" s="3">
        <v>6134.3501999999999</v>
      </c>
    </row>
    <row r="327" spans="2:5" x14ac:dyDescent="0.25">
      <c r="B327" s="6" t="s">
        <v>449</v>
      </c>
      <c r="C327">
        <v>40</v>
      </c>
      <c r="D327">
        <v>32</v>
      </c>
      <c r="E327" s="3">
        <v>1808.729</v>
      </c>
    </row>
    <row r="328" spans="2:5" x14ac:dyDescent="0.25">
      <c r="B328" s="6" t="s">
        <v>480</v>
      </c>
      <c r="C328">
        <v>59</v>
      </c>
      <c r="D328">
        <v>53</v>
      </c>
      <c r="E328" s="3">
        <v>1702.6456000000001</v>
      </c>
    </row>
    <row r="329" spans="2:5" x14ac:dyDescent="0.25">
      <c r="B329" s="6" t="s">
        <v>508</v>
      </c>
      <c r="C329">
        <v>16</v>
      </c>
      <c r="D329">
        <v>15</v>
      </c>
      <c r="E329" s="3">
        <v>1648.4583</v>
      </c>
    </row>
    <row r="330" spans="2:5" x14ac:dyDescent="0.25">
      <c r="B330" s="6" t="s">
        <v>696</v>
      </c>
      <c r="C330">
        <v>11</v>
      </c>
      <c r="D330">
        <v>9</v>
      </c>
      <c r="E330" s="3">
        <v>1180.3137999999999</v>
      </c>
    </row>
    <row r="331" spans="2:5" x14ac:dyDescent="0.25">
      <c r="B331" s="6" t="s">
        <v>749</v>
      </c>
      <c r="C331">
        <v>30</v>
      </c>
      <c r="D331">
        <v>15</v>
      </c>
      <c r="E331" s="3">
        <v>1052.2936999999999</v>
      </c>
    </row>
    <row r="332" spans="2:5" x14ac:dyDescent="0.25">
      <c r="B332" s="6" t="s">
        <v>908</v>
      </c>
      <c r="C332">
        <v>27</v>
      </c>
      <c r="D332">
        <v>24</v>
      </c>
      <c r="E332" s="3">
        <v>825.99469999999997</v>
      </c>
    </row>
    <row r="333" spans="2:5" x14ac:dyDescent="0.25">
      <c r="B333" s="5" t="s">
        <v>7</v>
      </c>
      <c r="C333">
        <v>1082</v>
      </c>
      <c r="D333">
        <v>911</v>
      </c>
      <c r="E333" s="3">
        <v>83112.407099999997</v>
      </c>
    </row>
    <row r="334" spans="2:5" x14ac:dyDescent="0.25">
      <c r="B334" s="6" t="s">
        <v>5</v>
      </c>
      <c r="C334">
        <v>39</v>
      </c>
      <c r="D334">
        <v>31</v>
      </c>
      <c r="E334" s="3">
        <v>30547.931700000001</v>
      </c>
    </row>
    <row r="335" spans="2:5" x14ac:dyDescent="0.25">
      <c r="B335" s="6" t="s">
        <v>103</v>
      </c>
      <c r="C335">
        <v>38</v>
      </c>
      <c r="D335">
        <v>25</v>
      </c>
      <c r="E335" s="3">
        <v>6382.9368000000004</v>
      </c>
    </row>
    <row r="336" spans="2:5" x14ac:dyDescent="0.25">
      <c r="B336" s="6" t="s">
        <v>193</v>
      </c>
      <c r="C336">
        <v>78</v>
      </c>
      <c r="D336">
        <v>67</v>
      </c>
      <c r="E336" s="3">
        <v>4138.1126000000004</v>
      </c>
    </row>
    <row r="337" spans="2:5" x14ac:dyDescent="0.25">
      <c r="B337" s="6" t="s">
        <v>202</v>
      </c>
      <c r="C337">
        <v>50</v>
      </c>
      <c r="D337">
        <v>46</v>
      </c>
      <c r="E337" s="3">
        <v>3839.8420000000001</v>
      </c>
    </row>
    <row r="338" spans="2:5" x14ac:dyDescent="0.25">
      <c r="B338" s="6" t="s">
        <v>232</v>
      </c>
      <c r="C338">
        <v>35</v>
      </c>
      <c r="D338">
        <v>34</v>
      </c>
      <c r="E338" s="3">
        <v>3339.6237000000001</v>
      </c>
    </row>
    <row r="339" spans="2:5" x14ac:dyDescent="0.25">
      <c r="B339" s="6" t="s">
        <v>262</v>
      </c>
      <c r="C339">
        <v>15</v>
      </c>
      <c r="D339">
        <v>14</v>
      </c>
      <c r="E339" s="3">
        <v>2938.5448999999999</v>
      </c>
    </row>
    <row r="340" spans="2:5" x14ac:dyDescent="0.25">
      <c r="B340" s="6" t="s">
        <v>265</v>
      </c>
      <c r="C340">
        <v>37</v>
      </c>
      <c r="D340">
        <v>25</v>
      </c>
      <c r="E340" s="3">
        <v>2872.1059</v>
      </c>
    </row>
    <row r="341" spans="2:5" x14ac:dyDescent="0.25">
      <c r="B341" s="6" t="s">
        <v>273</v>
      </c>
      <c r="C341">
        <v>19</v>
      </c>
      <c r="D341">
        <v>12</v>
      </c>
      <c r="E341" s="3">
        <v>2795.4056999999998</v>
      </c>
    </row>
    <row r="342" spans="2:5" x14ac:dyDescent="0.25">
      <c r="B342" s="6" t="s">
        <v>310</v>
      </c>
      <c r="C342">
        <v>18</v>
      </c>
      <c r="D342">
        <v>17</v>
      </c>
      <c r="E342" s="3">
        <v>2540.4144999999999</v>
      </c>
    </row>
    <row r="343" spans="2:5" x14ac:dyDescent="0.25">
      <c r="B343" s="6" t="s">
        <v>386</v>
      </c>
      <c r="C343">
        <v>45</v>
      </c>
      <c r="D343">
        <v>41</v>
      </c>
      <c r="E343" s="3">
        <v>2068.4929000000002</v>
      </c>
    </row>
    <row r="344" spans="2:5" x14ac:dyDescent="0.25">
      <c r="B344" s="6" t="s">
        <v>454</v>
      </c>
      <c r="C344">
        <v>22</v>
      </c>
      <c r="D344">
        <v>20</v>
      </c>
      <c r="E344" s="3">
        <v>1795.6922</v>
      </c>
    </row>
    <row r="345" spans="2:5" x14ac:dyDescent="0.25">
      <c r="B345" s="6" t="s">
        <v>528</v>
      </c>
      <c r="C345">
        <v>81</v>
      </c>
      <c r="D345">
        <v>66</v>
      </c>
      <c r="E345" s="3">
        <v>1572.0504000000001</v>
      </c>
    </row>
    <row r="346" spans="2:5" x14ac:dyDescent="0.25">
      <c r="B346" s="6" t="s">
        <v>558</v>
      </c>
      <c r="C346">
        <v>15</v>
      </c>
      <c r="D346">
        <v>10</v>
      </c>
      <c r="E346" s="3">
        <v>1507.9686999999999</v>
      </c>
    </row>
    <row r="347" spans="2:5" x14ac:dyDescent="0.25">
      <c r="B347" s="6" t="s">
        <v>567</v>
      </c>
      <c r="C347">
        <v>55</v>
      </c>
      <c r="D347">
        <v>49</v>
      </c>
      <c r="E347" s="3">
        <v>1487.4149</v>
      </c>
    </row>
    <row r="348" spans="2:5" x14ac:dyDescent="0.25">
      <c r="B348" s="6" t="s">
        <v>577</v>
      </c>
      <c r="C348">
        <v>23</v>
      </c>
      <c r="D348">
        <v>21</v>
      </c>
      <c r="E348" s="3">
        <v>1467.1741</v>
      </c>
    </row>
    <row r="349" spans="2:5" x14ac:dyDescent="0.25">
      <c r="B349" s="6" t="s">
        <v>588</v>
      </c>
      <c r="C349">
        <v>11</v>
      </c>
      <c r="D349">
        <v>10</v>
      </c>
      <c r="E349" s="3">
        <v>1449.1161</v>
      </c>
    </row>
    <row r="350" spans="2:5" x14ac:dyDescent="0.25">
      <c r="B350" s="6" t="s">
        <v>610</v>
      </c>
      <c r="C350">
        <v>84</v>
      </c>
      <c r="D350">
        <v>62</v>
      </c>
      <c r="E350" s="3">
        <v>1405.9213</v>
      </c>
    </row>
    <row r="351" spans="2:5" x14ac:dyDescent="0.25">
      <c r="B351" s="6" t="s">
        <v>634</v>
      </c>
      <c r="C351">
        <v>15</v>
      </c>
      <c r="D351">
        <v>12</v>
      </c>
      <c r="E351" s="3">
        <v>1323.2632000000001</v>
      </c>
    </row>
    <row r="352" spans="2:5" x14ac:dyDescent="0.25">
      <c r="B352" s="6" t="s">
        <v>662</v>
      </c>
      <c r="C352">
        <v>36</v>
      </c>
      <c r="D352">
        <v>32</v>
      </c>
      <c r="E352" s="3">
        <v>1247.5148999999999</v>
      </c>
    </row>
    <row r="353" spans="2:5" x14ac:dyDescent="0.25">
      <c r="B353" s="6" t="s">
        <v>728</v>
      </c>
      <c r="C353">
        <v>5</v>
      </c>
      <c r="D353">
        <v>1</v>
      </c>
      <c r="E353" s="3">
        <v>1106.5666000000001</v>
      </c>
    </row>
    <row r="354" spans="2:5" x14ac:dyDescent="0.25">
      <c r="B354" s="6" t="s">
        <v>740</v>
      </c>
      <c r="C354">
        <v>8</v>
      </c>
      <c r="D354">
        <v>5</v>
      </c>
      <c r="E354" s="3">
        <v>1086.4820999999999</v>
      </c>
    </row>
    <row r="355" spans="2:5" x14ac:dyDescent="0.25">
      <c r="B355" s="6" t="s">
        <v>764</v>
      </c>
      <c r="C355">
        <v>80</v>
      </c>
      <c r="D355">
        <v>77</v>
      </c>
      <c r="E355" s="3">
        <v>1041.7625</v>
      </c>
    </row>
    <row r="356" spans="2:5" x14ac:dyDescent="0.25">
      <c r="B356" s="6" t="s">
        <v>782</v>
      </c>
      <c r="C356">
        <v>5</v>
      </c>
      <c r="D356">
        <v>0</v>
      </c>
      <c r="E356" s="3">
        <v>1006.828</v>
      </c>
    </row>
    <row r="357" spans="2:5" x14ac:dyDescent="0.25">
      <c r="B357" s="6" t="s">
        <v>836</v>
      </c>
      <c r="C357">
        <v>51</v>
      </c>
      <c r="D357">
        <v>45</v>
      </c>
      <c r="E357" s="3">
        <v>910.9692</v>
      </c>
    </row>
    <row r="358" spans="2:5" x14ac:dyDescent="0.25">
      <c r="B358" s="6" t="s">
        <v>891</v>
      </c>
      <c r="C358">
        <v>60</v>
      </c>
      <c r="D358">
        <v>55</v>
      </c>
      <c r="E358" s="3">
        <v>843.09760000000006</v>
      </c>
    </row>
    <row r="359" spans="2:5" x14ac:dyDescent="0.25">
      <c r="B359" s="6" t="s">
        <v>918</v>
      </c>
      <c r="C359">
        <v>39</v>
      </c>
      <c r="D359">
        <v>28</v>
      </c>
      <c r="E359" s="3">
        <v>816.39229999999998</v>
      </c>
    </row>
    <row r="360" spans="2:5" x14ac:dyDescent="0.25">
      <c r="B360" s="6" t="s">
        <v>932</v>
      </c>
      <c r="C360">
        <v>35</v>
      </c>
      <c r="D360">
        <v>30</v>
      </c>
      <c r="E360" s="3">
        <v>809.77949999999998</v>
      </c>
    </row>
    <row r="361" spans="2:5" x14ac:dyDescent="0.25">
      <c r="B361" s="6" t="s">
        <v>969</v>
      </c>
      <c r="C361">
        <v>83</v>
      </c>
      <c r="D361">
        <v>76</v>
      </c>
      <c r="E361" s="3">
        <v>771.00279999999998</v>
      </c>
    </row>
    <row r="362" spans="2:5" x14ac:dyDescent="0.25">
      <c r="B362" s="5" t="s">
        <v>97</v>
      </c>
      <c r="C362">
        <v>491</v>
      </c>
      <c r="D362">
        <v>428</v>
      </c>
      <c r="E362" s="3">
        <v>32049.186999999994</v>
      </c>
    </row>
    <row r="363" spans="2:5" x14ac:dyDescent="0.25">
      <c r="B363" s="6" t="s">
        <v>96</v>
      </c>
      <c r="C363">
        <v>21</v>
      </c>
      <c r="D363">
        <v>18</v>
      </c>
      <c r="E363" s="3">
        <v>6492.7884000000004</v>
      </c>
    </row>
    <row r="364" spans="2:5" x14ac:dyDescent="0.25">
      <c r="B364" s="6" t="s">
        <v>283</v>
      </c>
      <c r="C364">
        <v>5</v>
      </c>
      <c r="D364">
        <v>4</v>
      </c>
      <c r="E364" s="3">
        <v>2704.9665</v>
      </c>
    </row>
    <row r="365" spans="2:5" x14ac:dyDescent="0.25">
      <c r="B365" s="6" t="s">
        <v>336</v>
      </c>
      <c r="C365">
        <v>36</v>
      </c>
      <c r="D365">
        <v>31</v>
      </c>
      <c r="E365" s="3">
        <v>2383.9486000000002</v>
      </c>
    </row>
    <row r="366" spans="2:5" x14ac:dyDescent="0.25">
      <c r="B366" s="6" t="s">
        <v>366</v>
      </c>
      <c r="C366">
        <v>13</v>
      </c>
      <c r="D366">
        <v>10</v>
      </c>
      <c r="E366" s="3">
        <v>2142.2694999999999</v>
      </c>
    </row>
    <row r="367" spans="2:5" x14ac:dyDescent="0.25">
      <c r="B367" s="6" t="s">
        <v>382</v>
      </c>
      <c r="C367">
        <v>14</v>
      </c>
      <c r="D367">
        <v>13</v>
      </c>
      <c r="E367" s="3">
        <v>2081.8944999999999</v>
      </c>
    </row>
    <row r="368" spans="2:5" x14ac:dyDescent="0.25">
      <c r="B368" s="6" t="s">
        <v>410</v>
      </c>
      <c r="C368">
        <v>29</v>
      </c>
      <c r="D368">
        <v>26</v>
      </c>
      <c r="E368" s="3">
        <v>1972.0256999999999</v>
      </c>
    </row>
    <row r="369" spans="2:5" x14ac:dyDescent="0.25">
      <c r="B369" s="6" t="s">
        <v>466</v>
      </c>
      <c r="C369">
        <v>6</v>
      </c>
      <c r="D369">
        <v>4</v>
      </c>
      <c r="E369" s="3">
        <v>1765.6791000000001</v>
      </c>
    </row>
    <row r="370" spans="2:5" x14ac:dyDescent="0.25">
      <c r="B370" s="6" t="s">
        <v>475</v>
      </c>
      <c r="C370">
        <v>25</v>
      </c>
      <c r="D370">
        <v>21</v>
      </c>
      <c r="E370" s="3">
        <v>1726.7615000000001</v>
      </c>
    </row>
    <row r="371" spans="2:5" x14ac:dyDescent="0.25">
      <c r="B371" s="6" t="s">
        <v>536</v>
      </c>
      <c r="C371">
        <v>23</v>
      </c>
      <c r="D371">
        <v>18</v>
      </c>
      <c r="E371" s="3">
        <v>1553.3569</v>
      </c>
    </row>
    <row r="372" spans="2:5" x14ac:dyDescent="0.25">
      <c r="B372" s="6" t="s">
        <v>545</v>
      </c>
      <c r="C372">
        <v>88</v>
      </c>
      <c r="D372">
        <v>73</v>
      </c>
      <c r="E372" s="3">
        <v>1539.2442000000001</v>
      </c>
    </row>
    <row r="373" spans="2:5" x14ac:dyDescent="0.25">
      <c r="B373" s="6" t="s">
        <v>600</v>
      </c>
      <c r="C373">
        <v>6</v>
      </c>
      <c r="D373">
        <v>5</v>
      </c>
      <c r="E373" s="3">
        <v>1423.6886</v>
      </c>
    </row>
    <row r="374" spans="2:5" x14ac:dyDescent="0.25">
      <c r="B374" s="6" t="s">
        <v>744</v>
      </c>
      <c r="C374">
        <v>24</v>
      </c>
      <c r="D374">
        <v>20</v>
      </c>
      <c r="E374" s="3">
        <v>1073.5922</v>
      </c>
    </row>
    <row r="375" spans="2:5" x14ac:dyDescent="0.25">
      <c r="B375" s="6" t="s">
        <v>799</v>
      </c>
      <c r="C375">
        <v>39</v>
      </c>
      <c r="D375">
        <v>37</v>
      </c>
      <c r="E375" s="3">
        <v>983.45209999999997</v>
      </c>
    </row>
    <row r="376" spans="2:5" x14ac:dyDescent="0.25">
      <c r="B376" s="6" t="s">
        <v>844</v>
      </c>
      <c r="C376">
        <v>7</v>
      </c>
      <c r="D376">
        <v>5</v>
      </c>
      <c r="E376" s="3">
        <v>900.46130000000005</v>
      </c>
    </row>
    <row r="377" spans="2:5" x14ac:dyDescent="0.25">
      <c r="B377" s="6" t="s">
        <v>871</v>
      </c>
      <c r="C377">
        <v>54</v>
      </c>
      <c r="D377">
        <v>53</v>
      </c>
      <c r="E377" s="3">
        <v>861.24959999999999</v>
      </c>
    </row>
    <row r="378" spans="2:5" x14ac:dyDescent="0.25">
      <c r="B378" s="6" t="s">
        <v>875</v>
      </c>
      <c r="C378">
        <v>75</v>
      </c>
      <c r="D378">
        <v>69</v>
      </c>
      <c r="E378" s="3">
        <v>856.82780000000002</v>
      </c>
    </row>
    <row r="379" spans="2:5" x14ac:dyDescent="0.25">
      <c r="B379" s="6" t="s">
        <v>895</v>
      </c>
      <c r="C379">
        <v>12</v>
      </c>
      <c r="D379">
        <v>9</v>
      </c>
      <c r="E379" s="3">
        <v>837.09010000000001</v>
      </c>
    </row>
    <row r="380" spans="2:5" x14ac:dyDescent="0.25">
      <c r="B380" s="6" t="s">
        <v>999</v>
      </c>
      <c r="C380">
        <v>14</v>
      </c>
      <c r="D380">
        <v>12</v>
      </c>
      <c r="E380" s="3">
        <v>749.8904</v>
      </c>
    </row>
    <row r="381" spans="2:5" x14ac:dyDescent="0.25">
      <c r="B381" s="5" t="s">
        <v>101</v>
      </c>
      <c r="C381">
        <v>66</v>
      </c>
      <c r="D381">
        <v>53</v>
      </c>
      <c r="E381" s="3">
        <v>9225.8243000000002</v>
      </c>
    </row>
    <row r="382" spans="2:5" x14ac:dyDescent="0.25">
      <c r="B382" s="6" t="s">
        <v>99</v>
      </c>
      <c r="C382">
        <v>21</v>
      </c>
      <c r="D382">
        <v>15</v>
      </c>
      <c r="E382" s="3">
        <v>6388.3661000000002</v>
      </c>
    </row>
    <row r="383" spans="2:5" x14ac:dyDescent="0.25">
      <c r="B383" s="6" t="s">
        <v>564</v>
      </c>
      <c r="C383">
        <v>20</v>
      </c>
      <c r="D383">
        <v>16</v>
      </c>
      <c r="E383" s="3">
        <v>1493.1967</v>
      </c>
    </row>
    <row r="384" spans="2:5" x14ac:dyDescent="0.25">
      <c r="B384" s="6" t="s">
        <v>629</v>
      </c>
      <c r="C384">
        <v>25</v>
      </c>
      <c r="D384">
        <v>22</v>
      </c>
      <c r="E384" s="3">
        <v>1344.2615000000001</v>
      </c>
    </row>
    <row r="385" spans="2:5" x14ac:dyDescent="0.25">
      <c r="B385" s="5" t="s">
        <v>87</v>
      </c>
      <c r="C385">
        <v>580</v>
      </c>
      <c r="D385">
        <v>428</v>
      </c>
      <c r="E385" s="3">
        <v>41143.362000000001</v>
      </c>
    </row>
    <row r="386" spans="2:5" x14ac:dyDescent="0.25">
      <c r="B386" s="6" t="s">
        <v>86</v>
      </c>
      <c r="C386">
        <v>8</v>
      </c>
      <c r="D386">
        <v>7</v>
      </c>
      <c r="E386" s="3">
        <v>7301.3353999999999</v>
      </c>
    </row>
    <row r="387" spans="2:5" x14ac:dyDescent="0.25">
      <c r="B387" s="6" t="s">
        <v>93</v>
      </c>
      <c r="C387">
        <v>51</v>
      </c>
      <c r="D387">
        <v>16</v>
      </c>
      <c r="E387" s="3">
        <v>6870.9856</v>
      </c>
    </row>
    <row r="388" spans="2:5" x14ac:dyDescent="0.25">
      <c r="B388" s="6" t="s">
        <v>112</v>
      </c>
      <c r="C388">
        <v>85</v>
      </c>
      <c r="D388">
        <v>60</v>
      </c>
      <c r="E388" s="3">
        <v>6176.6895999999997</v>
      </c>
    </row>
    <row r="389" spans="2:5" x14ac:dyDescent="0.25">
      <c r="B389" s="6" t="s">
        <v>122</v>
      </c>
      <c r="C389">
        <v>41</v>
      </c>
      <c r="D389">
        <v>36</v>
      </c>
      <c r="E389" s="3">
        <v>6017.8863000000001</v>
      </c>
    </row>
    <row r="390" spans="2:5" x14ac:dyDescent="0.25">
      <c r="B390" s="6" t="s">
        <v>390</v>
      </c>
      <c r="C390">
        <v>62</v>
      </c>
      <c r="D390">
        <v>57</v>
      </c>
      <c r="E390" s="3">
        <v>2037.4483</v>
      </c>
    </row>
    <row r="391" spans="2:5" x14ac:dyDescent="0.25">
      <c r="B391" s="6" t="s">
        <v>510</v>
      </c>
      <c r="C391">
        <v>49</v>
      </c>
      <c r="D391">
        <v>36</v>
      </c>
      <c r="E391" s="3">
        <v>1636.3737000000001</v>
      </c>
    </row>
    <row r="392" spans="2:5" x14ac:dyDescent="0.25">
      <c r="B392" s="6" t="s">
        <v>579</v>
      </c>
      <c r="C392">
        <v>6</v>
      </c>
      <c r="D392">
        <v>4</v>
      </c>
      <c r="E392" s="3">
        <v>1464.4640999999999</v>
      </c>
    </row>
    <row r="393" spans="2:5" x14ac:dyDescent="0.25">
      <c r="B393" s="6" t="s">
        <v>602</v>
      </c>
      <c r="C393">
        <v>14</v>
      </c>
      <c r="D393">
        <v>11</v>
      </c>
      <c r="E393" s="3">
        <v>1423.4909</v>
      </c>
    </row>
    <row r="394" spans="2:5" x14ac:dyDescent="0.25">
      <c r="B394" s="6" t="s">
        <v>617</v>
      </c>
      <c r="C394">
        <v>12</v>
      </c>
      <c r="D394">
        <v>8</v>
      </c>
      <c r="E394" s="3">
        <v>1386.454</v>
      </c>
    </row>
    <row r="395" spans="2:5" x14ac:dyDescent="0.25">
      <c r="B395" s="6" t="s">
        <v>704</v>
      </c>
      <c r="C395">
        <v>30</v>
      </c>
      <c r="D395">
        <v>18</v>
      </c>
      <c r="E395" s="3">
        <v>1152.1347000000001</v>
      </c>
    </row>
    <row r="396" spans="2:5" x14ac:dyDescent="0.25">
      <c r="B396" s="6" t="s">
        <v>762</v>
      </c>
      <c r="C396">
        <v>53</v>
      </c>
      <c r="D396">
        <v>41</v>
      </c>
      <c r="E396" s="3">
        <v>1043.2461000000001</v>
      </c>
    </row>
    <row r="397" spans="2:5" x14ac:dyDescent="0.25">
      <c r="B397" s="6" t="s">
        <v>774</v>
      </c>
      <c r="C397">
        <v>9</v>
      </c>
      <c r="D397">
        <v>3</v>
      </c>
      <c r="E397" s="3">
        <v>1030.5074</v>
      </c>
    </row>
    <row r="398" spans="2:5" x14ac:dyDescent="0.25">
      <c r="B398" s="6" t="s">
        <v>788</v>
      </c>
      <c r="C398">
        <v>45</v>
      </c>
      <c r="D398">
        <v>37</v>
      </c>
      <c r="E398" s="3">
        <v>1001.6224</v>
      </c>
    </row>
    <row r="399" spans="2:5" x14ac:dyDescent="0.25">
      <c r="B399" s="6" t="s">
        <v>817</v>
      </c>
      <c r="C399">
        <v>87</v>
      </c>
      <c r="D399">
        <v>73</v>
      </c>
      <c r="E399" s="3">
        <v>955.40260000000001</v>
      </c>
    </row>
    <row r="400" spans="2:5" x14ac:dyDescent="0.25">
      <c r="B400" s="6" t="s">
        <v>855</v>
      </c>
      <c r="C400">
        <v>6</v>
      </c>
      <c r="D400">
        <v>4</v>
      </c>
      <c r="E400" s="3">
        <v>886.84109999999998</v>
      </c>
    </row>
    <row r="401" spans="2:5" x14ac:dyDescent="0.25">
      <c r="B401" s="6" t="s">
        <v>985</v>
      </c>
      <c r="C401">
        <v>22</v>
      </c>
      <c r="D401">
        <v>17</v>
      </c>
      <c r="E401" s="3">
        <v>758.47979999999995</v>
      </c>
    </row>
    <row r="402" spans="2:5" x14ac:dyDescent="0.25">
      <c r="B402" s="5" t="s">
        <v>20</v>
      </c>
      <c r="C402">
        <v>717</v>
      </c>
      <c r="D402">
        <v>565</v>
      </c>
      <c r="E402" s="3">
        <v>60219.478299999995</v>
      </c>
    </row>
    <row r="403" spans="2:5" x14ac:dyDescent="0.25">
      <c r="B403" s="6" t="s">
        <v>18</v>
      </c>
      <c r="C403">
        <v>25</v>
      </c>
      <c r="D403">
        <v>19</v>
      </c>
      <c r="E403" s="3">
        <v>18166.406999999999</v>
      </c>
    </row>
    <row r="404" spans="2:5" x14ac:dyDescent="0.25">
      <c r="B404" s="6" t="s">
        <v>121</v>
      </c>
      <c r="C404">
        <v>13</v>
      </c>
      <c r="D404">
        <v>11</v>
      </c>
      <c r="E404" s="3">
        <v>6055.9447</v>
      </c>
    </row>
    <row r="405" spans="2:5" x14ac:dyDescent="0.25">
      <c r="B405" s="6" t="s">
        <v>224</v>
      </c>
      <c r="C405">
        <v>25</v>
      </c>
      <c r="D405">
        <v>22</v>
      </c>
      <c r="E405" s="3">
        <v>3399.5282000000002</v>
      </c>
    </row>
    <row r="406" spans="2:5" x14ac:dyDescent="0.25">
      <c r="B406" s="6" t="s">
        <v>250</v>
      </c>
      <c r="C406">
        <v>10</v>
      </c>
      <c r="D406">
        <v>8</v>
      </c>
      <c r="E406" s="3">
        <v>3099.3348000000001</v>
      </c>
    </row>
    <row r="407" spans="2:5" x14ac:dyDescent="0.25">
      <c r="B407" s="6" t="s">
        <v>379</v>
      </c>
      <c r="C407">
        <v>18</v>
      </c>
      <c r="D407">
        <v>15</v>
      </c>
      <c r="E407" s="3">
        <v>2097.5284999999999</v>
      </c>
    </row>
    <row r="408" spans="2:5" x14ac:dyDescent="0.25">
      <c r="B408" s="6" t="s">
        <v>436</v>
      </c>
      <c r="C408">
        <v>5</v>
      </c>
      <c r="D408">
        <v>3</v>
      </c>
      <c r="E408" s="3">
        <v>1882.7744</v>
      </c>
    </row>
    <row r="409" spans="2:5" x14ac:dyDescent="0.25">
      <c r="B409" s="6" t="s">
        <v>493</v>
      </c>
      <c r="C409">
        <v>15</v>
      </c>
      <c r="D409">
        <v>12</v>
      </c>
      <c r="E409" s="3">
        <v>1677.2330999999999</v>
      </c>
    </row>
    <row r="410" spans="2:5" x14ac:dyDescent="0.25">
      <c r="B410" s="6" t="s">
        <v>519</v>
      </c>
      <c r="C410">
        <v>12</v>
      </c>
      <c r="D410">
        <v>10</v>
      </c>
      <c r="E410" s="3">
        <v>1621.3485000000001</v>
      </c>
    </row>
    <row r="411" spans="2:5" x14ac:dyDescent="0.25">
      <c r="B411" s="6" t="s">
        <v>552</v>
      </c>
      <c r="C411">
        <v>90</v>
      </c>
      <c r="D411">
        <v>55</v>
      </c>
      <c r="E411" s="3">
        <v>1515.7374</v>
      </c>
    </row>
    <row r="412" spans="2:5" x14ac:dyDescent="0.25">
      <c r="B412" s="6" t="s">
        <v>554</v>
      </c>
      <c r="C412">
        <v>63</v>
      </c>
      <c r="D412">
        <v>57</v>
      </c>
      <c r="E412" s="3">
        <v>1515.61</v>
      </c>
    </row>
    <row r="413" spans="2:5" x14ac:dyDescent="0.25">
      <c r="B413" s="6" t="s">
        <v>574</v>
      </c>
      <c r="C413">
        <v>19</v>
      </c>
      <c r="D413">
        <v>16</v>
      </c>
      <c r="E413" s="3">
        <v>1469.3516999999999</v>
      </c>
    </row>
    <row r="414" spans="2:5" x14ac:dyDescent="0.25">
      <c r="B414" s="6" t="s">
        <v>603</v>
      </c>
      <c r="C414">
        <v>10</v>
      </c>
      <c r="D414">
        <v>8</v>
      </c>
      <c r="E414" s="3">
        <v>1423.4061999999999</v>
      </c>
    </row>
    <row r="415" spans="2:5" x14ac:dyDescent="0.25">
      <c r="B415" s="6" t="s">
        <v>659</v>
      </c>
      <c r="C415">
        <v>29</v>
      </c>
      <c r="D415">
        <v>10</v>
      </c>
      <c r="E415" s="3">
        <v>1252.8198</v>
      </c>
    </row>
    <row r="416" spans="2:5" x14ac:dyDescent="0.25">
      <c r="B416" s="6" t="s">
        <v>668</v>
      </c>
      <c r="C416">
        <v>6</v>
      </c>
      <c r="D416">
        <v>3</v>
      </c>
      <c r="E416" s="3">
        <v>1232.4509</v>
      </c>
    </row>
    <row r="417" spans="2:5" x14ac:dyDescent="0.25">
      <c r="B417" s="6" t="s">
        <v>677</v>
      </c>
      <c r="C417">
        <v>6</v>
      </c>
      <c r="D417">
        <v>5</v>
      </c>
      <c r="E417" s="3">
        <v>1220.8083999999999</v>
      </c>
    </row>
    <row r="418" spans="2:5" x14ac:dyDescent="0.25">
      <c r="B418" s="6" t="s">
        <v>686</v>
      </c>
      <c r="C418">
        <v>56</v>
      </c>
      <c r="D418">
        <v>46</v>
      </c>
      <c r="E418" s="3">
        <v>1200.9092000000001</v>
      </c>
    </row>
    <row r="419" spans="2:5" x14ac:dyDescent="0.25">
      <c r="B419" s="6" t="s">
        <v>697</v>
      </c>
      <c r="C419">
        <v>70</v>
      </c>
      <c r="D419">
        <v>65</v>
      </c>
      <c r="E419" s="3">
        <v>1168.8844999999999</v>
      </c>
    </row>
    <row r="420" spans="2:5" x14ac:dyDescent="0.25">
      <c r="B420" s="6" t="s">
        <v>710</v>
      </c>
      <c r="C420">
        <v>5</v>
      </c>
      <c r="D420">
        <v>4</v>
      </c>
      <c r="E420" s="3">
        <v>1141.9407000000001</v>
      </c>
    </row>
    <row r="421" spans="2:5" x14ac:dyDescent="0.25">
      <c r="B421" s="6" t="s">
        <v>747</v>
      </c>
      <c r="C421">
        <v>24</v>
      </c>
      <c r="D421">
        <v>19</v>
      </c>
      <c r="E421" s="3">
        <v>1056.2826</v>
      </c>
    </row>
    <row r="422" spans="2:5" x14ac:dyDescent="0.25">
      <c r="B422" s="6" t="s">
        <v>792</v>
      </c>
      <c r="C422">
        <v>45</v>
      </c>
      <c r="D422">
        <v>42</v>
      </c>
      <c r="E422" s="3">
        <v>992.66470000000004</v>
      </c>
    </row>
    <row r="423" spans="2:5" x14ac:dyDescent="0.25">
      <c r="B423" s="6" t="s">
        <v>796</v>
      </c>
      <c r="C423">
        <v>8</v>
      </c>
      <c r="D423">
        <v>4</v>
      </c>
      <c r="E423" s="3">
        <v>987.04240000000004</v>
      </c>
    </row>
    <row r="424" spans="2:5" x14ac:dyDescent="0.25">
      <c r="B424" s="6" t="s">
        <v>798</v>
      </c>
      <c r="C424">
        <v>20</v>
      </c>
      <c r="D424">
        <v>18</v>
      </c>
      <c r="E424" s="3">
        <v>986.3578</v>
      </c>
    </row>
    <row r="425" spans="2:5" x14ac:dyDescent="0.25">
      <c r="B425" s="6" t="s">
        <v>801</v>
      </c>
      <c r="C425">
        <v>6</v>
      </c>
      <c r="D425">
        <v>4</v>
      </c>
      <c r="E425" s="3">
        <v>980.62800000000004</v>
      </c>
    </row>
    <row r="426" spans="2:5" x14ac:dyDescent="0.25">
      <c r="B426" s="6" t="s">
        <v>849</v>
      </c>
      <c r="C426">
        <v>30</v>
      </c>
      <c r="D426">
        <v>24</v>
      </c>
      <c r="E426" s="3">
        <v>894.68119999999999</v>
      </c>
    </row>
    <row r="427" spans="2:5" x14ac:dyDescent="0.25">
      <c r="B427" s="6" t="s">
        <v>867</v>
      </c>
      <c r="C427">
        <v>30</v>
      </c>
      <c r="D427">
        <v>28</v>
      </c>
      <c r="E427" s="3">
        <v>864.29809999999998</v>
      </c>
    </row>
    <row r="428" spans="2:5" x14ac:dyDescent="0.25">
      <c r="B428" s="6" t="s">
        <v>909</v>
      </c>
      <c r="C428">
        <v>12</v>
      </c>
      <c r="D428">
        <v>10</v>
      </c>
      <c r="E428" s="3">
        <v>823.92949999999996</v>
      </c>
    </row>
    <row r="429" spans="2:5" x14ac:dyDescent="0.25">
      <c r="B429" s="6" t="s">
        <v>997</v>
      </c>
      <c r="C429">
        <v>10</v>
      </c>
      <c r="D429">
        <v>7</v>
      </c>
      <c r="E429" s="3">
        <v>750.33699999999999</v>
      </c>
    </row>
    <row r="430" spans="2:5" x14ac:dyDescent="0.25">
      <c r="B430" s="6" t="s">
        <v>1004</v>
      </c>
      <c r="C430">
        <v>55</v>
      </c>
      <c r="D430">
        <v>40</v>
      </c>
      <c r="E430" s="3">
        <v>741.23900000000003</v>
      </c>
    </row>
    <row r="431" spans="2:5" x14ac:dyDescent="0.25">
      <c r="B431" s="5" t="s">
        <v>130</v>
      </c>
      <c r="C431">
        <v>194</v>
      </c>
      <c r="D431">
        <v>158</v>
      </c>
      <c r="E431" s="3">
        <v>14783.031300000002</v>
      </c>
    </row>
    <row r="432" spans="2:5" x14ac:dyDescent="0.25">
      <c r="B432" s="6" t="s">
        <v>129</v>
      </c>
      <c r="C432">
        <v>46</v>
      </c>
      <c r="D432">
        <v>41</v>
      </c>
      <c r="E432" s="3">
        <v>5638.3886000000002</v>
      </c>
    </row>
    <row r="433" spans="2:5" x14ac:dyDescent="0.25">
      <c r="B433" s="6" t="s">
        <v>214</v>
      </c>
      <c r="C433">
        <v>25</v>
      </c>
      <c r="D433">
        <v>22</v>
      </c>
      <c r="E433" s="3">
        <v>3623.0563000000002</v>
      </c>
    </row>
    <row r="434" spans="2:5" x14ac:dyDescent="0.25">
      <c r="B434" s="6" t="s">
        <v>661</v>
      </c>
      <c r="C434">
        <v>22</v>
      </c>
      <c r="D434">
        <v>15</v>
      </c>
      <c r="E434" s="3">
        <v>1248.1117999999999</v>
      </c>
    </row>
    <row r="435" spans="2:5" x14ac:dyDescent="0.25">
      <c r="B435" s="6" t="s">
        <v>699</v>
      </c>
      <c r="C435">
        <v>12</v>
      </c>
      <c r="D435">
        <v>10</v>
      </c>
      <c r="E435" s="3">
        <v>1168.2828</v>
      </c>
    </row>
    <row r="436" spans="2:5" x14ac:dyDescent="0.25">
      <c r="B436" s="6" t="s">
        <v>738</v>
      </c>
      <c r="C436">
        <v>35</v>
      </c>
      <c r="D436">
        <v>32</v>
      </c>
      <c r="E436" s="3">
        <v>1093.325</v>
      </c>
    </row>
    <row r="437" spans="2:5" x14ac:dyDescent="0.25">
      <c r="B437" s="6" t="s">
        <v>756</v>
      </c>
      <c r="C437">
        <v>34</v>
      </c>
      <c r="D437">
        <v>22</v>
      </c>
      <c r="E437" s="3">
        <v>1045.6964</v>
      </c>
    </row>
    <row r="438" spans="2:5" x14ac:dyDescent="0.25">
      <c r="B438" s="6" t="s">
        <v>810</v>
      </c>
      <c r="C438">
        <v>20</v>
      </c>
      <c r="D438">
        <v>16</v>
      </c>
      <c r="E438" s="3">
        <v>966.17039999999997</v>
      </c>
    </row>
    <row r="439" spans="2:5" x14ac:dyDescent="0.25">
      <c r="B439" s="5" t="s">
        <v>73</v>
      </c>
      <c r="C439">
        <v>2486</v>
      </c>
      <c r="D439">
        <v>1924</v>
      </c>
      <c r="E439" s="3">
        <v>122264.42330000001</v>
      </c>
    </row>
    <row r="440" spans="2:5" x14ac:dyDescent="0.25">
      <c r="B440" s="6" t="s">
        <v>71</v>
      </c>
      <c r="C440">
        <v>37</v>
      </c>
      <c r="D440">
        <v>27</v>
      </c>
      <c r="E440" s="3">
        <v>7965.9741000000004</v>
      </c>
    </row>
    <row r="441" spans="2:5" x14ac:dyDescent="0.25">
      <c r="B441" s="6" t="s">
        <v>75</v>
      </c>
      <c r="C441">
        <v>70</v>
      </c>
      <c r="D441">
        <v>65</v>
      </c>
      <c r="E441" s="3">
        <v>7926.4243999999999</v>
      </c>
    </row>
    <row r="442" spans="2:5" x14ac:dyDescent="0.25">
      <c r="B442" s="6" t="s">
        <v>77</v>
      </c>
      <c r="C442">
        <v>42</v>
      </c>
      <c r="D442">
        <v>40</v>
      </c>
      <c r="E442" s="3">
        <v>7478.1477999999997</v>
      </c>
    </row>
    <row r="443" spans="2:5" x14ac:dyDescent="0.25">
      <c r="B443" s="6" t="s">
        <v>88</v>
      </c>
      <c r="C443">
        <v>60</v>
      </c>
      <c r="D443">
        <v>57</v>
      </c>
      <c r="E443" s="3">
        <v>7045.3630999999996</v>
      </c>
    </row>
    <row r="444" spans="2:5" x14ac:dyDescent="0.25">
      <c r="B444" s="6" t="s">
        <v>128</v>
      </c>
      <c r="C444">
        <v>56</v>
      </c>
      <c r="D444">
        <v>49</v>
      </c>
      <c r="E444" s="3">
        <v>5768.1832999999997</v>
      </c>
    </row>
    <row r="445" spans="2:5" x14ac:dyDescent="0.25">
      <c r="B445" s="6" t="s">
        <v>170</v>
      </c>
      <c r="C445">
        <v>28</v>
      </c>
      <c r="D445">
        <v>25</v>
      </c>
      <c r="E445" s="3">
        <v>4430.1379999999999</v>
      </c>
    </row>
    <row r="446" spans="2:5" x14ac:dyDescent="0.25">
      <c r="B446" s="6" t="s">
        <v>178</v>
      </c>
      <c r="C446">
        <v>63</v>
      </c>
      <c r="D446">
        <v>32</v>
      </c>
      <c r="E446" s="3">
        <v>4322.5573000000004</v>
      </c>
    </row>
    <row r="447" spans="2:5" x14ac:dyDescent="0.25">
      <c r="B447" s="6" t="s">
        <v>187</v>
      </c>
      <c r="C447">
        <v>39</v>
      </c>
      <c r="D447">
        <v>38</v>
      </c>
      <c r="E447" s="3">
        <v>4246.7510000000002</v>
      </c>
    </row>
    <row r="448" spans="2:5" x14ac:dyDescent="0.25">
      <c r="B448" s="6" t="s">
        <v>205</v>
      </c>
      <c r="C448">
        <v>50</v>
      </c>
      <c r="D448">
        <v>35</v>
      </c>
      <c r="E448" s="3">
        <v>3778.5391</v>
      </c>
    </row>
    <row r="449" spans="2:5" x14ac:dyDescent="0.25">
      <c r="B449" s="6" t="s">
        <v>238</v>
      </c>
      <c r="C449">
        <v>86</v>
      </c>
      <c r="D449">
        <v>82</v>
      </c>
      <c r="E449" s="3">
        <v>3244.549</v>
      </c>
    </row>
    <row r="450" spans="2:5" x14ac:dyDescent="0.25">
      <c r="B450" s="6" t="s">
        <v>247</v>
      </c>
      <c r="C450">
        <v>50</v>
      </c>
      <c r="D450">
        <v>42</v>
      </c>
      <c r="E450" s="3">
        <v>3135.6529</v>
      </c>
    </row>
    <row r="451" spans="2:5" x14ac:dyDescent="0.25">
      <c r="B451" s="6" t="s">
        <v>291</v>
      </c>
      <c r="C451">
        <v>21</v>
      </c>
      <c r="D451">
        <v>16</v>
      </c>
      <c r="E451" s="3">
        <v>2668.0059000000001</v>
      </c>
    </row>
    <row r="452" spans="2:5" x14ac:dyDescent="0.25">
      <c r="B452" s="6" t="s">
        <v>318</v>
      </c>
      <c r="C452">
        <v>55</v>
      </c>
      <c r="D452">
        <v>49</v>
      </c>
      <c r="E452" s="3">
        <v>2482.3452000000002</v>
      </c>
    </row>
    <row r="453" spans="2:5" x14ac:dyDescent="0.25">
      <c r="B453" s="6" t="s">
        <v>322</v>
      </c>
      <c r="C453">
        <v>48</v>
      </c>
      <c r="D453">
        <v>28</v>
      </c>
      <c r="E453" s="3">
        <v>2474.5437000000002</v>
      </c>
    </row>
    <row r="454" spans="2:5" x14ac:dyDescent="0.25">
      <c r="B454" s="6" t="s">
        <v>329</v>
      </c>
      <c r="C454">
        <v>58</v>
      </c>
      <c r="D454">
        <v>53</v>
      </c>
      <c r="E454" s="3">
        <v>2417.9715000000001</v>
      </c>
    </row>
    <row r="455" spans="2:5" x14ac:dyDescent="0.25">
      <c r="B455" s="6" t="s">
        <v>340</v>
      </c>
      <c r="C455">
        <v>60</v>
      </c>
      <c r="D455">
        <v>35</v>
      </c>
      <c r="E455" s="3">
        <v>2356.7775999999999</v>
      </c>
    </row>
    <row r="456" spans="2:5" x14ac:dyDescent="0.25">
      <c r="B456" s="6" t="s">
        <v>348</v>
      </c>
      <c r="C456">
        <v>36</v>
      </c>
      <c r="D456">
        <v>29</v>
      </c>
      <c r="E456" s="3">
        <v>2276.0888</v>
      </c>
    </row>
    <row r="457" spans="2:5" x14ac:dyDescent="0.25">
      <c r="B457" s="6" t="s">
        <v>394</v>
      </c>
      <c r="C457">
        <v>18</v>
      </c>
      <c r="D457">
        <v>14</v>
      </c>
      <c r="E457" s="3">
        <v>2029.6605999999999</v>
      </c>
    </row>
    <row r="458" spans="2:5" x14ac:dyDescent="0.25">
      <c r="B458" s="6" t="s">
        <v>398</v>
      </c>
      <c r="C458">
        <v>23</v>
      </c>
      <c r="D458">
        <v>15</v>
      </c>
      <c r="E458" s="3">
        <v>2018.2299</v>
      </c>
    </row>
    <row r="459" spans="2:5" x14ac:dyDescent="0.25">
      <c r="B459" s="6" t="s">
        <v>430</v>
      </c>
      <c r="C459">
        <v>54</v>
      </c>
      <c r="D459">
        <v>33</v>
      </c>
      <c r="E459" s="3">
        <v>1915.1007</v>
      </c>
    </row>
    <row r="460" spans="2:5" x14ac:dyDescent="0.25">
      <c r="B460" s="6" t="s">
        <v>438</v>
      </c>
      <c r="C460">
        <v>90</v>
      </c>
      <c r="D460">
        <v>88</v>
      </c>
      <c r="E460" s="3">
        <v>1882.0256999999999</v>
      </c>
    </row>
    <row r="461" spans="2:5" x14ac:dyDescent="0.25">
      <c r="B461" s="6" t="s">
        <v>441</v>
      </c>
      <c r="C461">
        <v>45</v>
      </c>
      <c r="D461">
        <v>38</v>
      </c>
      <c r="E461" s="3">
        <v>1851.6306</v>
      </c>
    </row>
    <row r="462" spans="2:5" x14ac:dyDescent="0.25">
      <c r="B462" s="6" t="s">
        <v>456</v>
      </c>
      <c r="C462">
        <v>30</v>
      </c>
      <c r="D462">
        <v>19</v>
      </c>
      <c r="E462" s="3">
        <v>1792.335</v>
      </c>
    </row>
    <row r="463" spans="2:5" x14ac:dyDescent="0.25">
      <c r="B463" s="6" t="s">
        <v>464</v>
      </c>
      <c r="C463">
        <v>25</v>
      </c>
      <c r="D463">
        <v>22</v>
      </c>
      <c r="E463" s="3">
        <v>1775.3905</v>
      </c>
    </row>
    <row r="464" spans="2:5" x14ac:dyDescent="0.25">
      <c r="B464" s="6" t="s">
        <v>523</v>
      </c>
      <c r="C464">
        <v>81</v>
      </c>
      <c r="D464">
        <v>65</v>
      </c>
      <c r="E464" s="3">
        <v>1606.1159</v>
      </c>
    </row>
    <row r="465" spans="2:5" x14ac:dyDescent="0.25">
      <c r="B465" s="6" t="s">
        <v>527</v>
      </c>
      <c r="C465">
        <v>20</v>
      </c>
      <c r="D465">
        <v>5</v>
      </c>
      <c r="E465" s="3">
        <v>1599.4677999999999</v>
      </c>
    </row>
    <row r="466" spans="2:5" x14ac:dyDescent="0.25">
      <c r="B466" s="6" t="s">
        <v>539</v>
      </c>
      <c r="C466">
        <v>73</v>
      </c>
      <c r="D466">
        <v>52</v>
      </c>
      <c r="E466" s="3">
        <v>1549.2845</v>
      </c>
    </row>
    <row r="467" spans="2:5" x14ac:dyDescent="0.25">
      <c r="B467" s="6" t="s">
        <v>557</v>
      </c>
      <c r="C467">
        <v>44</v>
      </c>
      <c r="D467">
        <v>29</v>
      </c>
      <c r="E467" s="3">
        <v>1508.6474000000001</v>
      </c>
    </row>
    <row r="468" spans="2:5" x14ac:dyDescent="0.25">
      <c r="B468" s="6" t="s">
        <v>570</v>
      </c>
      <c r="C468">
        <v>80</v>
      </c>
      <c r="D468">
        <v>71</v>
      </c>
      <c r="E468" s="3">
        <v>1480.2849000000001</v>
      </c>
    </row>
    <row r="469" spans="2:5" x14ac:dyDescent="0.25">
      <c r="B469" s="6" t="s">
        <v>585</v>
      </c>
      <c r="C469">
        <v>41</v>
      </c>
      <c r="D469">
        <v>26</v>
      </c>
      <c r="E469" s="3">
        <v>1455.2822000000001</v>
      </c>
    </row>
    <row r="470" spans="2:5" x14ac:dyDescent="0.25">
      <c r="B470" s="6" t="s">
        <v>609</v>
      </c>
      <c r="C470">
        <v>25</v>
      </c>
      <c r="D470">
        <v>24</v>
      </c>
      <c r="E470" s="3">
        <v>1407.5845999999999</v>
      </c>
    </row>
    <row r="471" spans="2:5" x14ac:dyDescent="0.25">
      <c r="B471" s="6" t="s">
        <v>620</v>
      </c>
      <c r="C471">
        <v>80</v>
      </c>
      <c r="D471">
        <v>49</v>
      </c>
      <c r="E471" s="3">
        <v>1379.7109</v>
      </c>
    </row>
    <row r="472" spans="2:5" x14ac:dyDescent="0.25">
      <c r="B472" s="6" t="s">
        <v>637</v>
      </c>
      <c r="C472">
        <v>19</v>
      </c>
      <c r="D472">
        <v>15</v>
      </c>
      <c r="E472" s="3">
        <v>1313.9536000000001</v>
      </c>
    </row>
    <row r="473" spans="2:5" x14ac:dyDescent="0.25">
      <c r="B473" s="6" t="s">
        <v>650</v>
      </c>
      <c r="C473">
        <v>80</v>
      </c>
      <c r="D473">
        <v>75</v>
      </c>
      <c r="E473" s="3">
        <v>1275.5934</v>
      </c>
    </row>
    <row r="474" spans="2:5" x14ac:dyDescent="0.25">
      <c r="B474" s="6" t="s">
        <v>651</v>
      </c>
      <c r="C474">
        <v>17</v>
      </c>
      <c r="D474">
        <v>15</v>
      </c>
      <c r="E474" s="3">
        <v>1270.6676</v>
      </c>
    </row>
    <row r="475" spans="2:5" x14ac:dyDescent="0.25">
      <c r="B475" s="6" t="s">
        <v>666</v>
      </c>
      <c r="C475">
        <v>85</v>
      </c>
      <c r="D475">
        <v>65</v>
      </c>
      <c r="E475" s="3">
        <v>1240.3105</v>
      </c>
    </row>
    <row r="476" spans="2:5" x14ac:dyDescent="0.25">
      <c r="B476" s="6" t="s">
        <v>680</v>
      </c>
      <c r="C476">
        <v>45</v>
      </c>
      <c r="D476">
        <v>33</v>
      </c>
      <c r="E476" s="3">
        <v>1216.3501000000001</v>
      </c>
    </row>
    <row r="477" spans="2:5" x14ac:dyDescent="0.25">
      <c r="B477" s="6" t="s">
        <v>682</v>
      </c>
      <c r="C477">
        <v>75</v>
      </c>
      <c r="D477">
        <v>63</v>
      </c>
      <c r="E477" s="3">
        <v>1210.2204999999999</v>
      </c>
    </row>
    <row r="478" spans="2:5" x14ac:dyDescent="0.25">
      <c r="B478" s="6" t="s">
        <v>685</v>
      </c>
      <c r="C478">
        <v>41</v>
      </c>
      <c r="D478">
        <v>13</v>
      </c>
      <c r="E478" s="3">
        <v>1202.6660999999999</v>
      </c>
    </row>
    <row r="479" spans="2:5" x14ac:dyDescent="0.25">
      <c r="B479" s="6" t="s">
        <v>702</v>
      </c>
      <c r="C479">
        <v>24</v>
      </c>
      <c r="D479">
        <v>22</v>
      </c>
      <c r="E479" s="3">
        <v>1163.9585</v>
      </c>
    </row>
    <row r="480" spans="2:5" x14ac:dyDescent="0.25">
      <c r="B480" s="6" t="s">
        <v>703</v>
      </c>
      <c r="C480">
        <v>52</v>
      </c>
      <c r="D480">
        <v>42</v>
      </c>
      <c r="E480" s="3">
        <v>1156.826</v>
      </c>
    </row>
    <row r="481" spans="2:5" x14ac:dyDescent="0.25">
      <c r="B481" s="6" t="s">
        <v>708</v>
      </c>
      <c r="C481">
        <v>7</v>
      </c>
      <c r="D481">
        <v>5</v>
      </c>
      <c r="E481" s="3">
        <v>1144.3394000000001</v>
      </c>
    </row>
    <row r="482" spans="2:5" x14ac:dyDescent="0.25">
      <c r="B482" s="6" t="s">
        <v>719</v>
      </c>
      <c r="C482">
        <v>32</v>
      </c>
      <c r="D482">
        <v>26</v>
      </c>
      <c r="E482" s="3">
        <v>1120.9253000000001</v>
      </c>
    </row>
    <row r="483" spans="2:5" x14ac:dyDescent="0.25">
      <c r="B483" s="6" t="s">
        <v>767</v>
      </c>
      <c r="C483">
        <v>96</v>
      </c>
      <c r="D483">
        <v>83</v>
      </c>
      <c r="E483" s="3">
        <v>1034.8425</v>
      </c>
    </row>
    <row r="484" spans="2:5" x14ac:dyDescent="0.25">
      <c r="B484" s="6" t="s">
        <v>826</v>
      </c>
      <c r="C484">
        <v>21</v>
      </c>
      <c r="D484">
        <v>18</v>
      </c>
      <c r="E484" s="3">
        <v>924.44410000000005</v>
      </c>
    </row>
    <row r="485" spans="2:5" x14ac:dyDescent="0.25">
      <c r="B485" s="6" t="s">
        <v>830</v>
      </c>
      <c r="C485">
        <v>75</v>
      </c>
      <c r="D485">
        <v>55</v>
      </c>
      <c r="E485" s="3">
        <v>916.06700000000001</v>
      </c>
    </row>
    <row r="486" spans="2:5" x14ac:dyDescent="0.25">
      <c r="B486" s="6" t="s">
        <v>832</v>
      </c>
      <c r="C486">
        <v>20</v>
      </c>
      <c r="D486">
        <v>17</v>
      </c>
      <c r="E486" s="3">
        <v>913.73509999999999</v>
      </c>
    </row>
    <row r="487" spans="2:5" x14ac:dyDescent="0.25">
      <c r="B487" s="6" t="s">
        <v>834</v>
      </c>
      <c r="C487">
        <v>21</v>
      </c>
      <c r="D487">
        <v>11</v>
      </c>
      <c r="E487" s="3">
        <v>912.01350000000002</v>
      </c>
    </row>
    <row r="488" spans="2:5" x14ac:dyDescent="0.25">
      <c r="B488" s="6" t="s">
        <v>864</v>
      </c>
      <c r="C488">
        <v>11</v>
      </c>
      <c r="D488">
        <v>8</v>
      </c>
      <c r="E488" s="3">
        <v>865.79769999999996</v>
      </c>
    </row>
    <row r="489" spans="2:5" x14ac:dyDescent="0.25">
      <c r="B489" s="6" t="s">
        <v>883</v>
      </c>
      <c r="C489">
        <v>16</v>
      </c>
      <c r="D489">
        <v>14</v>
      </c>
      <c r="E489" s="3">
        <v>852.23490000000004</v>
      </c>
    </row>
    <row r="490" spans="2:5" x14ac:dyDescent="0.25">
      <c r="B490" s="6" t="s">
        <v>905</v>
      </c>
      <c r="C490">
        <v>29</v>
      </c>
      <c r="D490">
        <v>26</v>
      </c>
      <c r="E490" s="3">
        <v>828.03150000000005</v>
      </c>
    </row>
    <row r="491" spans="2:5" x14ac:dyDescent="0.25">
      <c r="B491" s="6" t="s">
        <v>914</v>
      </c>
      <c r="C491">
        <v>20</v>
      </c>
      <c r="D491">
        <v>-26</v>
      </c>
      <c r="E491" s="3">
        <v>817.2645</v>
      </c>
    </row>
    <row r="492" spans="2:5" x14ac:dyDescent="0.25">
      <c r="B492" s="6" t="s">
        <v>929</v>
      </c>
      <c r="C492">
        <v>46</v>
      </c>
      <c r="D492">
        <v>38</v>
      </c>
      <c r="E492" s="3">
        <v>810.34349999999995</v>
      </c>
    </row>
    <row r="493" spans="2:5" x14ac:dyDescent="0.25">
      <c r="B493" s="6" t="s">
        <v>938</v>
      </c>
      <c r="C493">
        <v>66</v>
      </c>
      <c r="D493">
        <v>54</v>
      </c>
      <c r="E493" s="3">
        <v>805.07410000000004</v>
      </c>
    </row>
    <row r="494" spans="2:5" x14ac:dyDescent="0.25">
      <c r="B494" s="5" t="s">
        <v>32</v>
      </c>
      <c r="C494">
        <v>280</v>
      </c>
      <c r="D494">
        <v>247</v>
      </c>
      <c r="E494" s="3">
        <v>24500.868899999998</v>
      </c>
    </row>
    <row r="495" spans="2:5" x14ac:dyDescent="0.25">
      <c r="B495" s="6" t="s">
        <v>30</v>
      </c>
      <c r="C495">
        <v>72</v>
      </c>
      <c r="D495">
        <v>71</v>
      </c>
      <c r="E495" s="3">
        <v>12700.658799999999</v>
      </c>
    </row>
    <row r="496" spans="2:5" x14ac:dyDescent="0.25">
      <c r="B496" s="6" t="s">
        <v>226</v>
      </c>
      <c r="C496">
        <v>65</v>
      </c>
      <c r="D496">
        <v>58</v>
      </c>
      <c r="E496" s="3">
        <v>3387.6552000000001</v>
      </c>
    </row>
    <row r="497" spans="2:5" x14ac:dyDescent="0.25">
      <c r="B497" s="6" t="s">
        <v>311</v>
      </c>
      <c r="C497">
        <v>36</v>
      </c>
      <c r="D497">
        <v>33</v>
      </c>
      <c r="E497" s="3">
        <v>2525.5636</v>
      </c>
    </row>
    <row r="498" spans="2:5" x14ac:dyDescent="0.25">
      <c r="B498" s="6" t="s">
        <v>404</v>
      </c>
      <c r="C498">
        <v>5</v>
      </c>
      <c r="D498">
        <v>3</v>
      </c>
      <c r="E498" s="3">
        <v>2004.3858</v>
      </c>
    </row>
    <row r="499" spans="2:5" x14ac:dyDescent="0.25">
      <c r="B499" s="6" t="s">
        <v>730</v>
      </c>
      <c r="C499">
        <v>23</v>
      </c>
      <c r="D499">
        <v>19</v>
      </c>
      <c r="E499" s="3">
        <v>1103.3244</v>
      </c>
    </row>
    <row r="500" spans="2:5" x14ac:dyDescent="0.25">
      <c r="B500" s="6" t="s">
        <v>765</v>
      </c>
      <c r="C500">
        <v>19</v>
      </c>
      <c r="D500">
        <v>11</v>
      </c>
      <c r="E500" s="3">
        <v>1040.1937</v>
      </c>
    </row>
    <row r="501" spans="2:5" x14ac:dyDescent="0.25">
      <c r="B501" s="6" t="s">
        <v>859</v>
      </c>
      <c r="C501">
        <v>15</v>
      </c>
      <c r="D501">
        <v>13</v>
      </c>
      <c r="E501" s="3">
        <v>870.47739999999999</v>
      </c>
    </row>
    <row r="502" spans="2:5" x14ac:dyDescent="0.25">
      <c r="B502" s="6" t="s">
        <v>861</v>
      </c>
      <c r="C502">
        <v>45</v>
      </c>
      <c r="D502">
        <v>39</v>
      </c>
      <c r="E502" s="3">
        <v>868.61</v>
      </c>
    </row>
    <row r="503" spans="2:5" x14ac:dyDescent="0.25">
      <c r="B503" s="5" t="s">
        <v>124</v>
      </c>
      <c r="C503">
        <v>74</v>
      </c>
      <c r="D503">
        <v>53</v>
      </c>
      <c r="E503" s="3">
        <v>9816.9120000000003</v>
      </c>
    </row>
    <row r="504" spans="2:5" x14ac:dyDescent="0.25">
      <c r="B504" s="6" t="s">
        <v>123</v>
      </c>
      <c r="C504">
        <v>15</v>
      </c>
      <c r="D504">
        <v>14</v>
      </c>
      <c r="E504" s="3">
        <v>5935.6786000000002</v>
      </c>
    </row>
    <row r="505" spans="2:5" x14ac:dyDescent="0.25">
      <c r="B505" s="6" t="s">
        <v>506</v>
      </c>
      <c r="C505">
        <v>18</v>
      </c>
      <c r="D505">
        <v>15</v>
      </c>
      <c r="E505" s="3">
        <v>1650.1407999999999</v>
      </c>
    </row>
    <row r="506" spans="2:5" x14ac:dyDescent="0.25">
      <c r="B506" s="6" t="s">
        <v>695</v>
      </c>
      <c r="C506">
        <v>28</v>
      </c>
      <c r="D506">
        <v>12</v>
      </c>
      <c r="E506" s="3">
        <v>1183.9145000000001</v>
      </c>
    </row>
    <row r="507" spans="2:5" x14ac:dyDescent="0.25">
      <c r="B507" s="6" t="s">
        <v>750</v>
      </c>
      <c r="C507">
        <v>13</v>
      </c>
      <c r="D507">
        <v>12</v>
      </c>
      <c r="E507" s="3">
        <v>1047.1781000000001</v>
      </c>
    </row>
    <row r="508" spans="2:5" x14ac:dyDescent="0.25">
      <c r="B508" s="5" t="s">
        <v>1026</v>
      </c>
      <c r="C508">
        <v>15969</v>
      </c>
      <c r="D508">
        <v>12747</v>
      </c>
      <c r="E508" s="3">
        <v>1118441.0415999999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4C92-5908-45C1-AE14-2689A875B0B5}">
  <dimension ref="A3:E41"/>
  <sheetViews>
    <sheetView topLeftCell="A27" workbookViewId="0">
      <selection activeCell="H25" sqref="H25"/>
    </sheetView>
  </sheetViews>
  <sheetFormatPr defaultRowHeight="15" x14ac:dyDescent="0.25"/>
  <cols>
    <col min="1" max="1" width="28.140625" bestFit="1" customWidth="1"/>
    <col min="2" max="3" width="14.7109375" bestFit="1" customWidth="1"/>
    <col min="4" max="4" width="13.42578125" bestFit="1" customWidth="1"/>
    <col min="5" max="5" width="20.140625" bestFit="1" customWidth="1"/>
    <col min="6" max="6" width="15.85546875" bestFit="1" customWidth="1"/>
  </cols>
  <sheetData>
    <row r="3" spans="1:5" x14ac:dyDescent="0.25">
      <c r="A3" s="4" t="s">
        <v>1025</v>
      </c>
      <c r="B3" t="s">
        <v>1028</v>
      </c>
      <c r="D3" s="4" t="s">
        <v>1025</v>
      </c>
      <c r="E3" t="s">
        <v>1037</v>
      </c>
    </row>
    <row r="4" spans="1:5" x14ac:dyDescent="0.25">
      <c r="A4" s="5" t="s">
        <v>24</v>
      </c>
      <c r="B4" s="2">
        <v>62218367.346938774</v>
      </c>
      <c r="D4" s="5" t="s">
        <v>1051</v>
      </c>
      <c r="E4" s="3">
        <v>21849.892500000002</v>
      </c>
    </row>
    <row r="5" spans="1:5" x14ac:dyDescent="0.25">
      <c r="A5" s="5" t="s">
        <v>87</v>
      </c>
      <c r="B5" s="2">
        <v>52165000</v>
      </c>
      <c r="D5" s="5" t="s">
        <v>1049</v>
      </c>
      <c r="E5" s="3">
        <v>4957.6391800000001</v>
      </c>
    </row>
    <row r="6" spans="1:5" x14ac:dyDescent="0.25">
      <c r="A6" s="5" t="s">
        <v>81</v>
      </c>
      <c r="B6" s="2">
        <v>48242857.142857142</v>
      </c>
      <c r="D6" s="5" t="s">
        <v>1048</v>
      </c>
      <c r="E6" s="3">
        <v>4676.5362166666664</v>
      </c>
    </row>
    <row r="7" spans="1:5" x14ac:dyDescent="0.25">
      <c r="A7" s="5" t="s">
        <v>7</v>
      </c>
      <c r="B7" s="2">
        <v>36917647.058823526</v>
      </c>
      <c r="D7" s="5" t="s">
        <v>1061</v>
      </c>
      <c r="E7" s="3">
        <v>3924.6502999999998</v>
      </c>
    </row>
    <row r="8" spans="1:5" x14ac:dyDescent="0.25">
      <c r="A8" s="5" t="s">
        <v>84</v>
      </c>
      <c r="B8" s="2">
        <v>32302325.58139535</v>
      </c>
      <c r="D8" s="5" t="s">
        <v>1058</v>
      </c>
      <c r="E8" s="3">
        <v>3500.5327499999999</v>
      </c>
    </row>
    <row r="9" spans="1:5" x14ac:dyDescent="0.25">
      <c r="A9" s="5" t="s">
        <v>51</v>
      </c>
      <c r="B9" s="2">
        <v>24863636.363636363</v>
      </c>
      <c r="D9" s="5" t="s">
        <v>1059</v>
      </c>
      <c r="E9" s="3">
        <v>3048.8521500000002</v>
      </c>
    </row>
    <row r="10" spans="1:5" x14ac:dyDescent="0.25">
      <c r="A10" s="5" t="s">
        <v>16</v>
      </c>
      <c r="B10" s="2">
        <v>23556000</v>
      </c>
      <c r="D10" s="5" t="s">
        <v>1052</v>
      </c>
      <c r="E10" s="3">
        <v>2981.5419071428582</v>
      </c>
    </row>
    <row r="11" spans="1:5" x14ac:dyDescent="0.25">
      <c r="A11" s="5" t="s">
        <v>148</v>
      </c>
      <c r="B11" s="2">
        <v>21350000</v>
      </c>
      <c r="D11" s="5" t="s">
        <v>1055</v>
      </c>
      <c r="E11" s="3">
        <v>2948.9840272727274</v>
      </c>
    </row>
    <row r="12" spans="1:5" x14ac:dyDescent="0.25">
      <c r="A12" s="5" t="s">
        <v>146</v>
      </c>
      <c r="B12" s="2">
        <v>20420000</v>
      </c>
      <c r="D12" s="5" t="s">
        <v>1053</v>
      </c>
      <c r="E12" s="3">
        <v>2774.7757384615379</v>
      </c>
    </row>
    <row r="13" spans="1:5" x14ac:dyDescent="0.25">
      <c r="A13" s="5" t="s">
        <v>3</v>
      </c>
      <c r="B13" s="2">
        <v>18406451.612903226</v>
      </c>
      <c r="D13" s="5" t="s">
        <v>397</v>
      </c>
      <c r="E13" s="3">
        <v>2727.8709999999996</v>
      </c>
    </row>
    <row r="14" spans="1:5" x14ac:dyDescent="0.25">
      <c r="A14" s="5" t="s">
        <v>1026</v>
      </c>
      <c r="B14" s="2">
        <v>34451803.278688528</v>
      </c>
      <c r="D14" s="5" t="s">
        <v>1026</v>
      </c>
      <c r="E14" s="3">
        <v>3630.7021170454541</v>
      </c>
    </row>
    <row r="30" spans="1:2" x14ac:dyDescent="0.25">
      <c r="A30" s="4" t="s">
        <v>1025</v>
      </c>
      <c r="B30" t="s">
        <v>1038</v>
      </c>
    </row>
    <row r="31" spans="1:2" x14ac:dyDescent="0.25">
      <c r="A31" s="5" t="s">
        <v>73</v>
      </c>
      <c r="B31">
        <v>72</v>
      </c>
    </row>
    <row r="32" spans="1:2" x14ac:dyDescent="0.25">
      <c r="A32" s="5" t="s">
        <v>3</v>
      </c>
      <c r="B32">
        <v>62</v>
      </c>
    </row>
    <row r="33" spans="1:2" x14ac:dyDescent="0.25">
      <c r="A33" s="5" t="s">
        <v>16</v>
      </c>
      <c r="B33">
        <v>50</v>
      </c>
    </row>
    <row r="34" spans="1:2" x14ac:dyDescent="0.25">
      <c r="A34" s="5" t="s">
        <v>24</v>
      </c>
      <c r="B34">
        <v>49</v>
      </c>
    </row>
    <row r="35" spans="1:2" x14ac:dyDescent="0.25">
      <c r="A35" s="5" t="s">
        <v>84</v>
      </c>
      <c r="B35">
        <v>43</v>
      </c>
    </row>
    <row r="36" spans="1:2" x14ac:dyDescent="0.25">
      <c r="A36" s="5" t="s">
        <v>152</v>
      </c>
      <c r="B36">
        <v>40</v>
      </c>
    </row>
    <row r="37" spans="1:2" x14ac:dyDescent="0.25">
      <c r="A37" s="5" t="s">
        <v>7</v>
      </c>
      <c r="B37">
        <v>34</v>
      </c>
    </row>
    <row r="38" spans="1:2" x14ac:dyDescent="0.25">
      <c r="A38" s="5" t="s">
        <v>20</v>
      </c>
      <c r="B38">
        <v>30</v>
      </c>
    </row>
    <row r="39" spans="1:2" x14ac:dyDescent="0.25">
      <c r="A39" s="5" t="s">
        <v>108</v>
      </c>
      <c r="B39">
        <v>28</v>
      </c>
    </row>
    <row r="40" spans="1:2" x14ac:dyDescent="0.25">
      <c r="A40" s="5" t="s">
        <v>134</v>
      </c>
      <c r="B40">
        <v>23</v>
      </c>
    </row>
    <row r="41" spans="1:2" x14ac:dyDescent="0.25">
      <c r="A41" s="5" t="s">
        <v>1026</v>
      </c>
      <c r="B41">
        <v>431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BFDF79-AF70-45E3-9F32-CEDAFEDF65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INC 5000 Companies 2019</vt:lpstr>
      <vt:lpstr>pivot_table</vt:lpstr>
      <vt:lpstr>Zawyżanie_przychodu</vt:lpstr>
      <vt:lpstr>zad3</vt:lpstr>
      <vt:lpstr>zad5</vt:lpstr>
      <vt:lpstr>zad6</vt:lpstr>
      <vt:lpstr>zad7</vt:lpstr>
      <vt:lpstr>zad8</vt:lpstr>
      <vt:lpstr>zad9</vt:lpstr>
      <vt:lpstr>zad10</vt:lpstr>
      <vt:lpstr>zad11</vt:lpstr>
      <vt:lpstr>zad13 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Maciej Skrzyp</dc:creator>
  <cp:lastModifiedBy>Maciej Skrzyp</cp:lastModifiedBy>
  <dcterms:created xsi:type="dcterms:W3CDTF">2026-02-05T18:36:08Z</dcterms:created>
  <dcterms:modified xsi:type="dcterms:W3CDTF">2026-10-04T19:42:12Z</dcterms:modified>
</cp:coreProperties>
</file>